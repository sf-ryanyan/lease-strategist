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物业总览" sheetId="2" state="visible" r:id="rId4"/>
    <sheet name="联系人" sheetId="3" state="visible" r:id="rId5"/>
    <sheet name="租约" sheetId="4" state="visible" r:id="rId6"/>
    <sheet name="询盘看房" sheetId="5" state="visible" r:id="rId7"/>
    <sheet name="申请人" sheetId="6" state="visible" r:id="rId8"/>
    <sheet name="维修工单" sheetId="7" state="visible" r:id="rId9"/>
    <sheet name="租金记录" sheetId="8" state="visible" r:id="rId10"/>
    <sheet name="账单" sheetId="9" state="visible" r:id="rId11"/>
    <sheet name="待办提醒" sheetId="10" state="visible" r:id="rId12"/>
    <sheet name="师傅名单" sheetId="11" state="visible" r:id="rId13"/>
  </sheets>
  <definedNames>
    <definedName function="false" hidden="true" localSheetId="10" name="_xlnm._FilterDatabase" vbProcedure="false">师傅名单!$A$1:$I$200</definedName>
    <definedName function="false" hidden="true" localSheetId="9" name="_xlnm._FilterDatabase" vbProcedure="false">待办提醒!$A$1:$F$200</definedName>
    <definedName function="false" hidden="true" localSheetId="1" name="_xlnm._FilterDatabase" vbProcedure="false">物业总览!$A$1:$R$200</definedName>
    <definedName function="false" hidden="true" localSheetId="5" name="_xlnm._FilterDatabase" vbProcedure="false">申请人!$A$1:$L$200</definedName>
    <definedName function="false" hidden="true" localSheetId="3" name="_xlnm._FilterDatabase" vbProcedure="false">租约!$A$1:$AA$200</definedName>
    <definedName function="false" hidden="true" localSheetId="7" name="_xlnm._FilterDatabase" vbProcedure="false">租金记录!$A$1:$K$200</definedName>
    <definedName function="false" hidden="true" localSheetId="6" name="_xlnm._FilterDatabase" vbProcedure="false">维修工单!$A$1:$Q$200</definedName>
    <definedName function="false" hidden="true" localSheetId="2" name="_xlnm._FilterDatabase" vbProcedure="false">联系人!$A$1:$H$200</definedName>
    <definedName function="false" hidden="true" localSheetId="4" name="_xlnm._FilterDatabase" vbProcedure="false">询盘看房!$A$1:$K$200</definedName>
    <definedName function="false" hidden="true" localSheetId="8" name="_xlnm._FilterDatabase" vbProcedure="false">账单!$A$1:$I$200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<sst xmlns="http://schemas.openxmlformats.org/spreadsheetml/2006/main" count="174" uniqueCount="149">
  <si>
    <r>
      <rPr>
        <b val="true"/>
        <sz val="14"/>
        <color rgb="FF1F3A5F"/>
        <rFont val="Noto Sans CJK SC"/>
        <family val="2"/>
      </rPr>
      <t xml:space="preserve">租管军师 </t>
    </r>
    <r>
      <rPr>
        <b val="true"/>
        <sz val="14"/>
        <color rgb="FF1F3A5F"/>
        <rFont val="Arial"/>
        <family val="0"/>
        <charset val="1"/>
      </rPr>
      <t xml:space="preserve">lease-strategist · </t>
    </r>
    <r>
      <rPr>
        <b val="true"/>
        <sz val="14"/>
        <color rgb="FF1F3A5F"/>
        <rFont val="Noto Sans CJK SC"/>
        <family val="2"/>
      </rPr>
      <t xml:space="preserve">总控台</t>
    </r>
  </si>
  <si>
    <t xml:space="preserve">怎么用</t>
  </si>
  <si>
    <r>
      <rPr>
        <sz val="11"/>
        <color rgb="FF000000"/>
        <rFont val="Arial"/>
        <family val="0"/>
        <charset val="1"/>
      </rPr>
      <t xml:space="preserve">1. </t>
    </r>
    <r>
      <rPr>
        <sz val="11"/>
        <color rgb="FF000000"/>
        <rFont val="Noto Sans CJK SC"/>
        <family val="2"/>
      </rPr>
      <t xml:space="preserve">复制本文件为 租管数据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总控台</t>
    </r>
    <r>
      <rPr>
        <sz val="11"/>
        <color rgb="FF000000"/>
        <rFont val="Arial"/>
        <family val="0"/>
        <charset val="1"/>
      </rPr>
      <t xml:space="preserve">.xlsx</t>
    </r>
    <r>
      <rPr>
        <sz val="11"/>
        <color rgb="FF000000"/>
        <rFont val="Noto Sans CJK SC"/>
        <family val="2"/>
      </rPr>
      <t xml:space="preserve">。数据表都是空的，从第 </t>
    </r>
    <r>
      <rPr>
        <sz val="11"/>
        <color rgb="FF000000"/>
        <rFont val="Arial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行开始写；示例见本页最下面。</t>
    </r>
  </si>
  <si>
    <r>
      <rPr>
        <sz val="11"/>
        <color rgb="FF000000"/>
        <rFont val="Arial"/>
        <family val="0"/>
        <charset val="1"/>
      </rPr>
      <t xml:space="preserve">2. </t>
    </r>
    <r>
      <rPr>
        <sz val="11"/>
        <color rgb="FF000000"/>
        <rFont val="Noto Sans CJK SC"/>
        <family val="2"/>
      </rPr>
      <t xml:space="preserve">表头是浅蓝色、写着「（自动）」的列是公式，不要手动改。</t>
    </r>
  </si>
  <si>
    <r>
      <rPr>
        <sz val="11"/>
        <color rgb="FF000000"/>
        <rFont val="Arial"/>
        <family val="0"/>
        <charset val="1"/>
      </rPr>
      <t xml:space="preserve">3. </t>
    </r>
    <r>
      <rPr>
        <sz val="11"/>
        <color rgb="FF000000"/>
        <rFont val="Noto Sans CJK SC"/>
        <family val="2"/>
      </rPr>
      <t xml:space="preserve">每个物业用同一个物业编号（</t>
    </r>
    <r>
      <rPr>
        <sz val="11"/>
        <color rgb="FF000000"/>
        <rFont val="Arial"/>
        <family val="0"/>
        <charset val="1"/>
      </rPr>
      <t xml:space="preserve">P001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P002……</t>
    </r>
    <r>
      <rPr>
        <sz val="11"/>
        <color rgb="FF000000"/>
        <rFont val="Noto Sans CJK SC"/>
        <family val="2"/>
      </rPr>
      <t xml:space="preserve">），各表靠它对应。</t>
    </r>
  </si>
  <si>
    <r>
      <rPr>
        <sz val="11"/>
        <color rgb="FF000000"/>
        <rFont val="Arial"/>
        <family val="0"/>
        <charset val="1"/>
      </rPr>
      <t xml:space="preserve">4. </t>
    </r>
    <r>
      <rPr>
        <sz val="11"/>
        <color rgb="FF000000"/>
        <rFont val="Noto Sans CJK SC"/>
        <family val="2"/>
      </rPr>
      <t xml:space="preserve">有下拉选项的列请从选项里选；不知道就选「未知」或留空。</t>
    </r>
  </si>
  <si>
    <r>
      <rPr>
        <sz val="11"/>
        <color rgb="FF000000"/>
        <rFont val="Arial"/>
        <family val="0"/>
        <charset val="1"/>
      </rPr>
      <t xml:space="preserve">5. </t>
    </r>
    <r>
      <rPr>
        <sz val="11"/>
        <color rgb="FF000000"/>
        <rFont val="Noto Sans CJK SC"/>
        <family val="2"/>
      </rPr>
      <t xml:space="preserve">隐私：不要填 </t>
    </r>
    <r>
      <rPr>
        <sz val="11"/>
        <color rgb="FF000000"/>
        <rFont val="Arial"/>
        <family val="0"/>
        <charset val="1"/>
      </rPr>
      <t xml:space="preserve">SSN</t>
    </r>
    <r>
      <rPr>
        <sz val="11"/>
        <color rgb="FF000000"/>
        <rFont val="Noto Sans CJK SC"/>
        <family val="2"/>
      </rPr>
      <t xml:space="preserve">、出生日期、证件号、银行或卡号、信用报告原件；不记申请人的家庭、孩子、动物、住房券等信息。</t>
    </r>
  </si>
  <si>
    <r>
      <rPr>
        <sz val="11"/>
        <color rgb="FF000000"/>
        <rFont val="Arial"/>
        <family val="0"/>
        <charset val="1"/>
      </rPr>
      <t xml:space="preserve">6. </t>
    </r>
    <r>
      <rPr>
        <sz val="11"/>
        <color rgb="FF000000"/>
        <rFont val="Noto Sans CJK SC"/>
        <family val="2"/>
      </rPr>
      <t xml:space="preserve">不要删除整行（会弄乱下拉选项和公式），清空内容即可。</t>
    </r>
  </si>
  <si>
    <r>
      <rPr>
        <b val="true"/>
        <sz val="11"/>
        <color rgb="FF1F3A5F"/>
        <rFont val="Noto Sans CJK SC"/>
        <family val="2"/>
      </rPr>
      <t xml:space="preserve">设置摘要（来自 </t>
    </r>
    <r>
      <rPr>
        <b val="true"/>
        <sz val="11"/>
        <color rgb="FF1F3A5F"/>
        <rFont val="Arial"/>
        <family val="0"/>
        <charset val="1"/>
      </rPr>
      <t xml:space="preserve">M00</t>
    </r>
    <r>
      <rPr>
        <b val="true"/>
        <sz val="11"/>
        <color rgb="FF1F3A5F"/>
        <rFont val="Noto Sans CJK SC"/>
        <family val="2"/>
      </rPr>
      <t xml:space="preserve">）</t>
    </r>
  </si>
  <si>
    <r>
      <rPr>
        <sz val="11"/>
        <color rgb="FF000000"/>
        <rFont val="Noto Sans CJK SC"/>
        <family val="2"/>
      </rPr>
      <t xml:space="preserve">管理者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品牌</t>
    </r>
  </si>
  <si>
    <t xml:space="preserve">Broker / DRE</t>
  </si>
  <si>
    <r>
      <rPr>
        <sz val="11"/>
        <color rgb="FF000000"/>
        <rFont val="Noto Sans CJK SC"/>
        <family val="2"/>
      </rPr>
      <t xml:space="preserve">默认租金流向（</t>
    </r>
    <r>
      <rPr>
        <sz val="11"/>
        <color rgb="FF000000"/>
        <rFont val="Arial"/>
        <family val="0"/>
        <charset val="1"/>
      </rPr>
      <t xml:space="preserve">A </t>
    </r>
    <r>
      <rPr>
        <sz val="11"/>
        <color rgb="FF000000"/>
        <rFont val="Noto Sans CJK SC"/>
        <family val="2"/>
      </rPr>
      <t xml:space="preserve">直付业主 </t>
    </r>
    <r>
      <rPr>
        <sz val="11"/>
        <color rgb="FF000000"/>
        <rFont val="Arial"/>
        <family val="0"/>
        <charset val="1"/>
      </rPr>
      <t xml:space="preserve">/ B </t>
    </r>
    <r>
      <rPr>
        <sz val="11"/>
        <color rgb="FF000000"/>
        <rFont val="Noto Sans CJK SC"/>
        <family val="2"/>
      </rPr>
      <t xml:space="preserve">信托）</t>
    </r>
  </si>
  <si>
    <r>
      <rPr>
        <sz val="11"/>
        <color rgb="FF000000"/>
        <rFont val="Noto Sans CJK SC"/>
        <family val="2"/>
      </rPr>
      <t xml:space="preserve">默认维修付款（业主直付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信托 </t>
    </r>
    <r>
      <rPr>
        <sz val="11"/>
        <color rgb="FF000000"/>
        <rFont val="Arial"/>
        <family val="0"/>
        <charset val="1"/>
      </rPr>
      <t xml:space="preserve">/ C </t>
    </r>
    <r>
      <rPr>
        <sz val="11"/>
        <color rgb="FF000000"/>
        <rFont val="Noto Sans CJK SC"/>
        <family val="2"/>
      </rPr>
      <t xml:space="preserve">租客垫付）</t>
    </r>
  </si>
  <si>
    <r>
      <rPr>
        <sz val="11"/>
        <color rgb="FF000000"/>
        <rFont val="Noto Sans CJK SC"/>
        <family val="2"/>
      </rPr>
      <t xml:space="preserve">默认审批上限（</t>
    </r>
    <r>
      <rPr>
        <sz val="11"/>
        <color rgb="FF000000"/>
        <rFont val="Arial"/>
        <family val="0"/>
        <charset val="1"/>
      </rPr>
      <t xml:space="preserve">USD</t>
    </r>
    <r>
      <rPr>
        <sz val="11"/>
        <color rgb="FF000000"/>
        <rFont val="Noto Sans CJK SC"/>
        <family val="2"/>
      </rPr>
      <t xml:space="preserve">）</t>
    </r>
  </si>
  <si>
    <t xml:space="preserve">提醒天数（改这里，租约表的提醒日会跟着变）</t>
  </si>
  <si>
    <r>
      <rPr>
        <sz val="11"/>
        <color rgb="FF000000"/>
        <rFont val="Noto Sans CJK SC"/>
        <family val="2"/>
      </rPr>
      <t xml:space="preserve">续约第 </t>
    </r>
    <r>
      <rPr>
        <sz val="11"/>
        <color rgb="FF000000"/>
        <rFont val="Arial"/>
        <family val="0"/>
        <charset val="1"/>
      </rPr>
      <t xml:space="preserve">1 </t>
    </r>
    <r>
      <rPr>
        <sz val="11"/>
        <color rgb="FF000000"/>
        <rFont val="Noto Sans CJK SC"/>
        <family val="2"/>
      </rPr>
      <t xml:space="preserve">次提醒：到期前几天</t>
    </r>
  </si>
  <si>
    <r>
      <rPr>
        <sz val="11"/>
        <color rgb="FF000000"/>
        <rFont val="Noto Sans CJK SC"/>
        <family val="2"/>
      </rPr>
      <t xml:space="preserve">续约第 </t>
    </r>
    <r>
      <rPr>
        <sz val="11"/>
        <color rgb="FF000000"/>
        <rFont val="Arial"/>
        <family val="0"/>
        <charset val="1"/>
      </rPr>
      <t xml:space="preserve">2 </t>
    </r>
    <r>
      <rPr>
        <sz val="11"/>
        <color rgb="FF000000"/>
        <rFont val="Noto Sans CJK SC"/>
        <family val="2"/>
      </rPr>
      <t xml:space="preserve">次提醒：到期前几天</t>
    </r>
  </si>
  <si>
    <r>
      <rPr>
        <sz val="11"/>
        <color rgb="FF000000"/>
        <rFont val="Noto Sans CJK SC"/>
        <family val="2"/>
      </rPr>
      <t xml:space="preserve">续约第 </t>
    </r>
    <r>
      <rPr>
        <sz val="11"/>
        <color rgb="FF000000"/>
        <rFont val="Arial"/>
        <family val="0"/>
        <charset val="1"/>
      </rPr>
      <t xml:space="preserve">3 </t>
    </r>
    <r>
      <rPr>
        <sz val="11"/>
        <color rgb="FF000000"/>
        <rFont val="Noto Sans CJK SC"/>
        <family val="2"/>
      </rPr>
      <t xml:space="preserve">次提醒：到期前几天</t>
    </r>
  </si>
  <si>
    <t xml:space="preserve">交租前提醒几天</t>
  </si>
  <si>
    <r>
      <rPr>
        <sz val="11"/>
        <color rgb="FF000000"/>
        <rFont val="Noto Sans CJK SC"/>
        <family val="2"/>
      </rPr>
      <t xml:space="preserve">上市调价检查（上市当天算第 </t>
    </r>
    <r>
      <rPr>
        <sz val="11"/>
        <color rgb="FF000000"/>
        <rFont val="Arial"/>
        <family val="0"/>
        <charset val="1"/>
      </rPr>
      <t xml:space="preserve">0 </t>
    </r>
    <r>
      <rPr>
        <sz val="11"/>
        <color rgb="FF000000"/>
        <rFont val="Noto Sans CJK SC"/>
        <family val="2"/>
      </rPr>
      <t xml:space="preserve">天）</t>
    </r>
  </si>
  <si>
    <r>
      <rPr>
        <sz val="11"/>
        <color rgb="FF595959"/>
        <rFont val="Noto Sans CJK SC"/>
        <family val="2"/>
      </rPr>
      <t xml:space="preserve">第 </t>
    </r>
    <r>
      <rPr>
        <sz val="11"/>
        <color rgb="FF595959"/>
        <rFont val="Arial"/>
        <family val="0"/>
        <charset val="1"/>
      </rPr>
      <t xml:space="preserve">7 / 14 / 21 </t>
    </r>
    <r>
      <rPr>
        <sz val="11"/>
        <color rgb="FF595959"/>
        <rFont val="Noto Sans CJK SC"/>
        <family val="2"/>
      </rPr>
      <t xml:space="preserve">天</t>
    </r>
  </si>
  <si>
    <t xml:space="preserve">状态代码</t>
  </si>
  <si>
    <r>
      <rPr>
        <sz val="11"/>
        <color rgb="FF000000"/>
        <rFont val="Noto Sans CJK SC"/>
        <family val="2"/>
      </rPr>
      <t xml:space="preserve">物业：评估中 → 签约中 → 接房 → 修缮 → 上市 → 筛选 → 签租约 → 已入住 → 在管 → 续约中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退租中 → 已结束</t>
    </r>
  </si>
  <si>
    <r>
      <rPr>
        <sz val="11"/>
        <color rgb="FF000000"/>
        <rFont val="Noto Sans CJK SC"/>
        <family val="2"/>
      </rPr>
      <t xml:space="preserve">询盘：询盘 → 已约看 → 已看房 → 已申请 → 审核中 → 已选定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未选中 → 已签约</t>
    </r>
  </si>
  <si>
    <t xml:space="preserve">工单：报修 → 已分级 → 报价中 → 待批准 → 已派工 → 已完成 → 已付款 → 已归档</t>
  </si>
  <si>
    <t xml:space="preserve">每张表的示例（虚构，只看格式，不要复制进数据表）</t>
  </si>
  <si>
    <t xml:space="preserve">物业总览</t>
  </si>
  <si>
    <r>
      <rPr>
        <sz val="11"/>
        <color rgb="FF595959"/>
        <rFont val="Arial"/>
        <family val="0"/>
        <charset val="1"/>
      </rPr>
      <t xml:space="preserve">P001 · 123 Example St · San Jose · </t>
    </r>
    <r>
      <rPr>
        <sz val="11"/>
        <color rgb="FF595959"/>
        <rFont val="Noto Sans CJK SC"/>
        <family val="2"/>
      </rPr>
      <t xml:space="preserve">独立屋 </t>
    </r>
    <r>
      <rPr>
        <sz val="11"/>
        <color rgb="FF595959"/>
        <rFont val="Arial"/>
        <family val="0"/>
        <charset val="1"/>
      </rPr>
      <t xml:space="preserve">· O. Sample · </t>
    </r>
    <r>
      <rPr>
        <sz val="11"/>
        <color rgb="FF595959"/>
        <rFont val="Noto Sans CJK SC"/>
        <family val="2"/>
      </rPr>
      <t xml:space="preserve">全托管 </t>
    </r>
    <r>
      <rPr>
        <sz val="11"/>
        <color rgb="FF595959"/>
        <rFont val="Arial"/>
        <family val="0"/>
        <charset val="1"/>
      </rPr>
      <t xml:space="preserve">· A · </t>
    </r>
    <r>
      <rPr>
        <sz val="11"/>
        <color rgb="FF595959"/>
        <rFont val="Noto Sans CJK SC"/>
        <family val="2"/>
      </rPr>
      <t xml:space="preserve">业主直付 </t>
    </r>
    <r>
      <rPr>
        <sz val="11"/>
        <color rgb="FF595959"/>
        <rFont val="Arial"/>
        <family val="0"/>
        <charset val="1"/>
      </rPr>
      <t xml:space="preserve">· 500 · M06 · </t>
    </r>
    <r>
      <rPr>
        <sz val="11"/>
        <color rgb="FF595959"/>
        <rFont val="Noto Sans CJK SC"/>
        <family val="2"/>
      </rPr>
      <t xml:space="preserve">上市 </t>
    </r>
    <r>
      <rPr>
        <sz val="11"/>
        <color rgb="FF595959"/>
        <rFont val="Arial"/>
        <family val="0"/>
        <charset val="1"/>
      </rPr>
      <t xml:space="preserve">· 3500 · 2026-10-10 · </t>
    </r>
    <r>
      <rPr>
        <sz val="11"/>
        <color rgb="FF595959"/>
        <rFont val="Noto Sans CJK SC"/>
        <family val="2"/>
      </rPr>
      <t xml:space="preserve">下一步：周六开放看房</t>
    </r>
  </si>
  <si>
    <t xml:space="preserve">联系人</t>
  </si>
  <si>
    <r>
      <rPr>
        <sz val="11"/>
        <color rgb="FF595959"/>
        <rFont val="Arial"/>
        <family val="0"/>
        <charset val="1"/>
      </rPr>
      <t xml:space="preserve">P001 · </t>
    </r>
    <r>
      <rPr>
        <sz val="11"/>
        <color rgb="FF595959"/>
        <rFont val="Noto Sans CJK SC"/>
        <family val="2"/>
      </rPr>
      <t xml:space="preserve">业主 </t>
    </r>
    <r>
      <rPr>
        <sz val="11"/>
        <color rgb="FF595959"/>
        <rFont val="Arial"/>
        <family val="0"/>
        <charset val="1"/>
      </rPr>
      <t xml:space="preserve">· O. Sample · (000) 000-0000 · owner@example.com · </t>
    </r>
    <r>
      <rPr>
        <sz val="11"/>
        <color rgb="FF595959"/>
        <rFont val="Noto Sans CJK SC"/>
        <family val="2"/>
      </rPr>
      <t xml:space="preserve">中文</t>
    </r>
  </si>
  <si>
    <t xml:space="preserve">租约</t>
  </si>
  <si>
    <r>
      <rPr>
        <sz val="11"/>
        <color rgb="FF595959"/>
        <rFont val="Arial"/>
        <family val="0"/>
        <charset val="1"/>
      </rPr>
      <t xml:space="preserve">P001 · T. Sample · 2026-11-15 · 2027-11-14 · </t>
    </r>
    <r>
      <rPr>
        <sz val="11"/>
        <color rgb="FF595959"/>
        <rFont val="Noto Sans CJK SC"/>
        <family val="2"/>
      </rPr>
      <t xml:space="preserve">定期 </t>
    </r>
    <r>
      <rPr>
        <sz val="11"/>
        <color rgb="FF595959"/>
        <rFont val="Arial"/>
        <family val="0"/>
        <charset val="1"/>
      </rPr>
      <t xml:space="preserve">· 3500 · 1 · 3 · 75 · 3500 · </t>
    </r>
    <r>
      <rPr>
        <sz val="11"/>
        <color rgb="FF595959"/>
        <rFont val="Noto Sans CJK SC"/>
        <family val="2"/>
      </rPr>
      <t xml:space="preserve">业主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豁免</t>
    </r>
    <r>
      <rPr>
        <sz val="11"/>
        <color rgb="FF595959"/>
        <rFont val="Arial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有声明</t>
    </r>
    <r>
      <rPr>
        <sz val="11"/>
        <color rgb="FF595959"/>
        <rFont val="Arial"/>
        <family val="0"/>
        <charset val="1"/>
      </rPr>
      <t xml:space="preserve">) · </t>
    </r>
    <r>
      <rPr>
        <sz val="11"/>
        <color rgb="FF595959"/>
        <rFont val="Noto Sans CJK SC"/>
        <family val="2"/>
      </rPr>
      <t xml:space="preserve">无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有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草坪 租客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滤网 租客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虫害 业主 …</t>
    </r>
  </si>
  <si>
    <t xml:space="preserve">询盘看房</t>
  </si>
  <si>
    <r>
      <rPr>
        <sz val="11"/>
        <color rgb="FF595959"/>
        <rFont val="Arial"/>
        <family val="0"/>
        <charset val="1"/>
      </rPr>
      <t xml:space="preserve">P001 · A. Viewer · viewer@example.com · Zillow · 2026-10-20 · 2026-10-25 10:00 · </t>
    </r>
    <r>
      <rPr>
        <sz val="11"/>
        <color rgb="FF595959"/>
        <rFont val="Noto Sans CJK SC"/>
        <family val="2"/>
      </rPr>
      <t xml:space="preserve">否 </t>
    </r>
    <r>
      <rPr>
        <sz val="11"/>
        <color rgb="FF595959"/>
        <rFont val="Arial"/>
        <family val="0"/>
        <charset val="1"/>
      </rPr>
      <t xml:space="preserve">· · </t>
    </r>
    <r>
      <rPr>
        <sz val="11"/>
        <color rgb="FF595959"/>
        <rFont val="Noto Sans CJK SC"/>
        <family val="2"/>
      </rPr>
      <t xml:space="preserve">温 </t>
    </r>
    <r>
      <rPr>
        <sz val="11"/>
        <color rgb="FF595959"/>
        <rFont val="Arial"/>
        <family val="0"/>
        <charset val="1"/>
      </rPr>
      <t xml:space="preserve">· 2026-10-26 · </t>
    </r>
    <r>
      <rPr>
        <sz val="11"/>
        <color rgb="FF595959"/>
        <rFont val="Noto Sans CJK SC"/>
        <family val="2"/>
      </rPr>
      <t xml:space="preserve">已约看</t>
    </r>
  </si>
  <si>
    <t xml:space="preserve">申请人</t>
  </si>
  <si>
    <r>
      <rPr>
        <sz val="11"/>
        <color rgb="FF595959"/>
        <rFont val="Arial"/>
        <family val="0"/>
        <charset val="1"/>
      </rPr>
      <t xml:space="preserve">P001 · A-01 (J.D.) · 2026-10-26 14:05 · </t>
    </r>
    <r>
      <rPr>
        <sz val="11"/>
        <color rgb="FF595959"/>
        <rFont val="Noto Sans CJK SC"/>
        <family val="2"/>
      </rPr>
      <t xml:space="preserve">是 </t>
    </r>
    <r>
      <rPr>
        <sz val="11"/>
        <color rgb="FF595959"/>
        <rFont val="Arial"/>
        <family val="0"/>
        <charset val="1"/>
      </rPr>
      <t xml:space="preserve">· 3.2 · </t>
    </r>
    <r>
      <rPr>
        <sz val="11"/>
        <color rgb="FF595959"/>
        <rFont val="Noto Sans CJK SC"/>
        <family val="2"/>
      </rPr>
      <t xml:space="preserve">符合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前 </t>
    </r>
    <r>
      <rPr>
        <sz val="11"/>
        <color rgb="FF595959"/>
        <rFont val="Arial"/>
        <family val="0"/>
        <charset val="1"/>
      </rPr>
      <t xml:space="preserve">2 </t>
    </r>
    <r>
      <rPr>
        <sz val="11"/>
        <color rgb="FF595959"/>
        <rFont val="Noto Sans CJK SC"/>
        <family val="2"/>
      </rPr>
      <t xml:space="preserve">任房东已核实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已核实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是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推荐</t>
    </r>
  </si>
  <si>
    <t xml:space="preserve">维修工单</t>
  </si>
  <si>
    <r>
      <rPr>
        <sz val="11"/>
        <color rgb="FF595959"/>
        <rFont val="Arial"/>
        <family val="0"/>
        <charset val="1"/>
      </rPr>
      <t xml:space="preserve">W-001 · P001 · 2026-10-22 · </t>
    </r>
    <r>
      <rPr>
        <sz val="11"/>
        <color rgb="FF595959"/>
        <rFont val="Noto Sans CJK SC"/>
        <family val="2"/>
      </rPr>
      <t xml:space="preserve">厨房水龙头滴水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厨房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常规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业主 </t>
    </r>
    <r>
      <rPr>
        <sz val="11"/>
        <color rgb="FF595959"/>
        <rFont val="Arial"/>
        <family val="0"/>
        <charset val="1"/>
      </rPr>
      <t xml:space="preserve">· Sample Plumbing · 180 · … · </t>
    </r>
    <r>
      <rPr>
        <sz val="11"/>
        <color rgb="FF595959"/>
        <rFont val="Noto Sans CJK SC"/>
        <family val="2"/>
      </rPr>
      <t xml:space="preserve">已派工</t>
    </r>
  </si>
  <si>
    <t xml:space="preserve">租金记录</t>
  </si>
  <si>
    <r>
      <rPr>
        <sz val="11"/>
        <color rgb="FF595959"/>
        <rFont val="Arial"/>
        <family val="0"/>
        <charset val="1"/>
      </rPr>
      <t xml:space="preserve">P001 · 2026-12 · 3500 · 3500 · 2026-12-01 · </t>
    </r>
    <r>
      <rPr>
        <sz val="11"/>
        <color rgb="FF595959"/>
        <rFont val="Noto Sans CJK SC"/>
        <family val="2"/>
      </rPr>
      <t xml:space="preserve">否 </t>
    </r>
    <r>
      <rPr>
        <sz val="11"/>
        <color rgb="FF595959"/>
        <rFont val="Arial"/>
        <family val="0"/>
        <charset val="1"/>
      </rPr>
      <t xml:space="preserve">· 0 · A · </t>
    </r>
    <r>
      <rPr>
        <sz val="11"/>
        <color rgb="FF595959"/>
        <rFont val="Noto Sans CJK SC"/>
        <family val="2"/>
      </rPr>
      <t xml:space="preserve">业主已确认</t>
    </r>
  </si>
  <si>
    <t xml:space="preserve">账单</t>
  </si>
  <si>
    <r>
      <rPr>
        <sz val="11"/>
        <color rgb="FF595959"/>
        <rFont val="Arial"/>
        <family val="0"/>
        <charset val="1"/>
      </rPr>
      <t xml:space="preserve">INV-2026-001 · P001 · O. Sample · 2026-11-15 · </t>
    </r>
    <r>
      <rPr>
        <sz val="11"/>
        <color rgb="FF595959"/>
        <rFont val="Noto Sans CJK SC"/>
        <family val="2"/>
      </rPr>
      <t xml:space="preserve">租赁费 </t>
    </r>
    <r>
      <rPr>
        <sz val="11"/>
        <color rgb="FF595959"/>
        <rFont val="Arial"/>
        <family val="0"/>
        <charset val="1"/>
      </rPr>
      <t xml:space="preserve">· 1750 · 2026-11-30</t>
    </r>
  </si>
  <si>
    <t xml:space="preserve">待办提醒</t>
  </si>
  <si>
    <r>
      <rPr>
        <sz val="11"/>
        <color rgb="FF595959"/>
        <rFont val="Arial"/>
        <family val="0"/>
        <charset val="1"/>
      </rPr>
      <t xml:space="preserve">2026-10-28 · P001 · </t>
    </r>
    <r>
      <rPr>
        <sz val="11"/>
        <color rgb="FF595959"/>
        <rFont val="Noto Sans CJK SC"/>
        <family val="2"/>
      </rPr>
      <t xml:space="preserve">问业主持有方式（个人 </t>
    </r>
    <r>
      <rPr>
        <sz val="11"/>
        <color rgb="FF595959"/>
        <rFont val="Arial"/>
        <family val="0"/>
        <charset val="1"/>
      </rPr>
      <t xml:space="preserve">/ </t>
    </r>
    <r>
      <rPr>
        <sz val="11"/>
        <color rgb="FF595959"/>
        <rFont val="Noto Sans CJK SC"/>
        <family val="2"/>
      </rPr>
      <t xml:space="preserve">信托 </t>
    </r>
    <r>
      <rPr>
        <sz val="11"/>
        <color rgb="FF595959"/>
        <rFont val="Arial"/>
        <family val="0"/>
        <charset val="1"/>
      </rPr>
      <t xml:space="preserve">/ LLC</t>
    </r>
    <r>
      <rPr>
        <sz val="11"/>
        <color rgb="FF595959"/>
        <rFont val="Noto Sans CJK SC"/>
        <family val="2"/>
      </rPr>
      <t xml:space="preserve">）</t>
    </r>
    <r>
      <rPr>
        <sz val="11"/>
        <color rgb="FF595959"/>
        <rFont val="Arial"/>
        <family val="0"/>
        <charset val="1"/>
      </rPr>
      <t xml:space="preserve">· M01 · </t>
    </r>
    <r>
      <rPr>
        <sz val="11"/>
        <color rgb="FF595959"/>
        <rFont val="Noto Sans CJK SC"/>
        <family val="2"/>
      </rPr>
      <t xml:space="preserve">中 </t>
    </r>
    <r>
      <rPr>
        <sz val="11"/>
        <color rgb="FF595959"/>
        <rFont val="Arial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待办</t>
    </r>
  </si>
  <si>
    <t xml:space="preserve">师傅名单</t>
  </si>
  <si>
    <r>
      <rPr>
        <sz val="11"/>
        <color rgb="FF595959"/>
        <rFont val="Noto Sans CJK SC"/>
        <family val="2"/>
      </rPr>
      <t xml:space="preserve">水管 </t>
    </r>
    <r>
      <rPr>
        <sz val="11"/>
        <color rgb="FF595959"/>
        <rFont val="Arial"/>
        <family val="0"/>
        <charset val="1"/>
      </rPr>
      <t xml:space="preserve">· Sample Plumbing · (000) 000-0000 · plumber@example.com · 000000 · </t>
    </r>
    <r>
      <rPr>
        <sz val="11"/>
        <color rgb="FF595959"/>
        <rFont val="Noto Sans CJK SC"/>
        <family val="2"/>
      </rPr>
      <t xml:space="preserve">有 </t>
    </r>
    <r>
      <rPr>
        <sz val="11"/>
        <color rgb="FF595959"/>
        <rFont val="Arial"/>
        <family val="0"/>
        <charset val="1"/>
      </rPr>
      <t xml:space="preserve">· South Bay · </t>
    </r>
    <r>
      <rPr>
        <sz val="11"/>
        <color rgb="FF595959"/>
        <rFont val="Noto Sans CJK SC"/>
        <family val="2"/>
      </rPr>
      <t xml:space="preserve">好</t>
    </r>
  </si>
  <si>
    <t xml:space="preserve">物业编号</t>
  </si>
  <si>
    <t xml:space="preserve">地址</t>
  </si>
  <si>
    <t xml:space="preserve">城市</t>
  </si>
  <si>
    <t xml:space="preserve">类型</t>
  </si>
  <si>
    <t xml:space="preserve">业主</t>
  </si>
  <si>
    <t xml:space="preserve">服务类型</t>
  </si>
  <si>
    <t xml:space="preserve">租金流向</t>
  </si>
  <si>
    <t xml:space="preserve">维修付款</t>
  </si>
  <si>
    <t xml:space="preserve">审批上限</t>
  </si>
  <si>
    <t xml:space="preserve">当前步骤</t>
  </si>
  <si>
    <t xml:space="preserve">状态</t>
  </si>
  <si>
    <t xml:space="preserve">月租金</t>
  </si>
  <si>
    <t xml:space="preserve">上市日期</t>
  </si>
  <si>
    <t xml:space="preserve">已上市天数（自动）</t>
  </si>
  <si>
    <t xml:space="preserve">下次调价检查日（自动）</t>
  </si>
  <si>
    <t xml:space="preserve">下一步</t>
  </si>
  <si>
    <t xml:space="preserve">截止日</t>
  </si>
  <si>
    <t xml:space="preserve">更新日期</t>
  </si>
  <si>
    <t xml:space="preserve">角色</t>
  </si>
  <si>
    <t xml:space="preserve">姓名</t>
  </si>
  <si>
    <t xml:space="preserve">电话</t>
  </si>
  <si>
    <t xml:space="preserve">邮箱</t>
  </si>
  <si>
    <t xml:space="preserve">通讯地址</t>
  </si>
  <si>
    <t xml:space="preserve">语言</t>
  </si>
  <si>
    <t xml:space="preserve">备注</t>
  </si>
  <si>
    <t xml:space="preserve">租客</t>
  </si>
  <si>
    <t xml:space="preserve">起租日</t>
  </si>
  <si>
    <t xml:space="preserve">到期日</t>
  </si>
  <si>
    <t xml:space="preserve">交租日</t>
  </si>
  <si>
    <r>
      <rPr>
        <b val="true"/>
        <sz val="11"/>
        <color rgb="FFFFFFFF"/>
        <rFont val="Noto Sans CJK SC"/>
        <family val="2"/>
      </rPr>
      <t xml:space="preserve">宽限期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</si>
  <si>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滞纳金</t>
  </si>
  <si>
    <t xml:space="preserve">押金</t>
  </si>
  <si>
    <t xml:space="preserve">押金保管</t>
  </si>
  <si>
    <t xml:space="preserve">AB1482</t>
  </si>
  <si>
    <t xml:space="preserve">本地租控</t>
  </si>
  <si>
    <t xml:space="preserve">定期检查条款</t>
  </si>
  <si>
    <t xml:space="preserve">草坪</t>
  </si>
  <si>
    <t xml:space="preserve">空调滤网</t>
  </si>
  <si>
    <t xml:space="preserve">虫害</t>
  </si>
  <si>
    <t xml:space="preserve">家电</t>
  </si>
  <si>
    <t xml:space="preserve">下水疏通</t>
  </si>
  <si>
    <t xml:space="preserve">报警器电池</t>
  </si>
  <si>
    <t xml:space="preserve">水电</t>
  </si>
  <si>
    <t xml:space="preserve">续约费</t>
  </si>
  <si>
    <r>
      <rPr>
        <b val="true"/>
        <sz val="11"/>
        <color rgb="FFFFFFFF"/>
        <rFont val="Noto Sans CJK SC"/>
        <family val="2"/>
      </rPr>
      <t xml:space="preserve">续约提醒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（自动）</t>
    </r>
  </si>
  <si>
    <r>
      <rPr>
        <b val="true"/>
        <sz val="11"/>
        <color rgb="FFFFFFFF"/>
        <rFont val="Noto Sans CJK SC"/>
        <family val="2"/>
      </rPr>
      <t xml:space="preserve">续约提醒</t>
    </r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（自动）</t>
    </r>
  </si>
  <si>
    <r>
      <rPr>
        <b val="true"/>
        <sz val="11"/>
        <color rgb="FFFFFFFF"/>
        <rFont val="Noto Sans CJK SC"/>
        <family val="2"/>
      </rPr>
      <t xml:space="preserve">续约提醒</t>
    </r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（自动）</t>
    </r>
  </si>
  <si>
    <t xml:space="preserve">搬出日</t>
  </si>
  <si>
    <t xml:space="preserve">押金退还截止（自动）</t>
  </si>
  <si>
    <t xml:space="preserve">联系方式</t>
  </si>
  <si>
    <t xml:space="preserve">来源平台</t>
  </si>
  <si>
    <t xml:space="preserve">首次联系日</t>
  </si>
  <si>
    <t xml:space="preserve">看房日期时间</t>
  </si>
  <si>
    <t xml:space="preserve">已看房</t>
  </si>
  <si>
    <t xml:space="preserve">反馈</t>
  </si>
  <si>
    <t xml:space="preserve">意向度</t>
  </si>
  <si>
    <t xml:space="preserve">下次跟进日</t>
  </si>
  <si>
    <t xml:space="preserve">申请编号</t>
  </si>
  <si>
    <t xml:space="preserve">收到完整申请时间</t>
  </si>
  <si>
    <t xml:space="preserve">材料完整</t>
  </si>
  <si>
    <t xml:space="preserve">收入倍数</t>
  </si>
  <si>
    <r>
      <rPr>
        <b val="true"/>
        <sz val="11"/>
        <color rgb="FFFFFFFF"/>
        <rFont val="Noto Sans CJK SC"/>
        <family val="2"/>
      </rPr>
      <t xml:space="preserve">信用</t>
    </r>
    <r>
      <rPr>
        <b val="true"/>
        <sz val="11"/>
        <color rgb="FFFFFFFF"/>
        <rFont val="Arial"/>
        <family val="0"/>
        <charset val="1"/>
      </rPr>
      <t xml:space="preserve">vs</t>
    </r>
    <r>
      <rPr>
        <b val="true"/>
        <sz val="11"/>
        <color rgb="FFFFFFFF"/>
        <rFont val="Noto Sans CJK SC"/>
        <family val="2"/>
      </rPr>
      <t xml:space="preserve">标准</t>
    </r>
  </si>
  <si>
    <t xml:space="preserve">租房历史</t>
  </si>
  <si>
    <r>
      <rPr>
        <b val="true"/>
        <sz val="11"/>
        <color rgb="FFFFFFFF"/>
        <rFont val="Noto Sans CJK SC"/>
        <family val="2"/>
      </rPr>
      <t xml:space="preserve">身份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雇主核实</t>
    </r>
  </si>
  <si>
    <t xml:space="preserve">符合标准</t>
  </si>
  <si>
    <t xml:space="preserve">决定日期</t>
  </si>
  <si>
    <t xml:space="preserve">书面理由</t>
  </si>
  <si>
    <t xml:space="preserve">工单号</t>
  </si>
  <si>
    <t xml:space="preserve">报修日期</t>
  </si>
  <si>
    <t xml:space="preserve">问题</t>
  </si>
  <si>
    <t xml:space="preserve">位置</t>
  </si>
  <si>
    <t xml:space="preserve">分级</t>
  </si>
  <si>
    <t xml:space="preserve">应完成日（自动）</t>
  </si>
  <si>
    <t xml:space="preserve">责任判断</t>
  </si>
  <si>
    <t xml:space="preserve">师傅</t>
  </si>
  <si>
    <t xml:space="preserve">报价</t>
  </si>
  <si>
    <t xml:space="preserve">业主批准日期</t>
  </si>
  <si>
    <t xml:space="preserve">派工日期</t>
  </si>
  <si>
    <t xml:space="preserve">完成日期</t>
  </si>
  <si>
    <t xml:space="preserve">租客确认</t>
  </si>
  <si>
    <t xml:space="preserve">付款方式</t>
  </si>
  <si>
    <t xml:space="preserve">金额</t>
  </si>
  <si>
    <t xml:space="preserve">月份</t>
  </si>
  <si>
    <t xml:space="preserve">应收</t>
  </si>
  <si>
    <t xml:space="preserve">实收</t>
  </si>
  <si>
    <t xml:space="preserve">差额（自动）</t>
  </si>
  <si>
    <t xml:space="preserve">收款日期</t>
  </si>
  <si>
    <t xml:space="preserve">迟交</t>
  </si>
  <si>
    <r>
      <rPr>
        <b val="true"/>
        <sz val="11"/>
        <color rgb="FFFFFFFF"/>
        <rFont val="Noto Sans CJK SC"/>
        <family val="2"/>
      </rPr>
      <t xml:space="preserve">业主确认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信托入账</t>
    </r>
  </si>
  <si>
    <t xml:space="preserve">账单号</t>
  </si>
  <si>
    <t xml:space="preserve">开票日期</t>
  </si>
  <si>
    <t xml:space="preserve">已付日期</t>
  </si>
  <si>
    <t xml:space="preserve">状态（自动）</t>
  </si>
  <si>
    <t xml:space="preserve">日期</t>
  </si>
  <si>
    <t xml:space="preserve">事项</t>
  </si>
  <si>
    <t xml:space="preserve">来源模块</t>
  </si>
  <si>
    <t xml:space="preserve">优先级</t>
  </si>
  <si>
    <t xml:space="preserve">工种</t>
  </si>
  <si>
    <t xml:space="preserve">名称</t>
  </si>
  <si>
    <r>
      <rPr>
        <b val="true"/>
        <sz val="11"/>
        <color rgb="FFFFFFFF"/>
        <rFont val="Arial"/>
        <family val="0"/>
        <charset val="1"/>
      </rPr>
      <t xml:space="preserve">CSLB</t>
    </r>
    <r>
      <rPr>
        <b val="true"/>
        <sz val="11"/>
        <color rgb="FFFFFFFF"/>
        <rFont val="Noto Sans CJK SC"/>
        <family val="2"/>
      </rPr>
      <t xml:space="preserve">执照号</t>
    </r>
  </si>
  <si>
    <t xml:space="preserve">保险</t>
  </si>
  <si>
    <t xml:space="preserve">服务区域</t>
  </si>
  <si>
    <t xml:space="preserve">评价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</si>
</sst>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USD &quot;#,##0;&quot;-USD &quot;#,##0;\-"/>
    <numFmt numFmtId="166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Noto Sans CJK SC"/>
      <family val="2"/>
    </font>
    <font>
      <b val="true"/>
      <sz val="14"/>
      <color rgb="FF1F3A5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color rgb="FF1F3A5F"/>
      <name val="Noto Sans CJK SC"/>
      <family val="2"/>
    </font>
    <font>
      <sz val="11"/>
      <color rgb="FF000000"/>
      <name val="Noto Sans CJK SC"/>
      <family val="2"/>
    </font>
    <font>
      <b val="true"/>
      <sz val="11"/>
      <color rgb="FF1F3A5F"/>
      <name val="Arial"/>
      <family val="0"/>
      <charset val="1"/>
    </font>
    <font>
      <sz val="11"/>
      <color rgb="FF595959"/>
      <name val="Noto Sans CJK SC"/>
      <family val="2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A5F"/>
        <bgColor rgb="FF333399"/>
      </patternFill>
    </fill>
    <fill>
      <patternFill patternType="solid">
        <fgColor rgb="FF5B7DA8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7D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7DA8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4" t="s">
        <v>1</v>
      </c>
      <c r="B3" s="2"/>
    </row>
    <row r="4" customFormat="false" ht="17.15" hidden="false" customHeight="false" outlineLevel="0" collapsed="false">
      <c r="A4" s="2" t="s">
        <v>2</v>
      </c>
      <c r="B4" s="3"/>
    </row>
    <row r="5" customFormat="false" ht="17.15" hidden="false" customHeight="false" outlineLevel="0" collapsed="false">
      <c r="A5" s="2" t="s">
        <v>3</v>
      </c>
      <c r="B5" s="3"/>
    </row>
    <row r="6" customFormat="false" ht="17.15" hidden="false" customHeight="false" outlineLevel="0" collapsed="false">
      <c r="A6" s="2" t="s">
        <v>4</v>
      </c>
      <c r="B6" s="3"/>
    </row>
    <row r="7" customFormat="false" ht="17.15" hidden="false" customHeight="false" outlineLevel="0" collapsed="false">
      <c r="A7" s="2" t="s">
        <v>5</v>
      </c>
      <c r="B7" s="3"/>
    </row>
    <row r="8" customFormat="false" ht="17.15" hidden="false" customHeight="false" outlineLevel="0" collapsed="false">
      <c r="A8" s="2" t="s">
        <v>6</v>
      </c>
      <c r="B8" s="3"/>
    </row>
    <row r="9" customFormat="false" ht="17.15" hidden="false" customHeight="false" outlineLevel="0" collapsed="false">
      <c r="A9" s="2" t="s">
        <v>7</v>
      </c>
      <c r="B9" s="3"/>
    </row>
    <row r="10" customFormat="false" ht="15" hidden="false" customHeight="false" outlineLevel="0" collapsed="false">
      <c r="A10" s="2"/>
      <c r="B10" s="3"/>
    </row>
    <row r="11" customFormat="false" ht="17.15" hidden="false" customHeight="false" outlineLevel="0" collapsed="false">
      <c r="A11" s="4" t="s">
        <v>8</v>
      </c>
      <c r="B11" s="2"/>
    </row>
    <row r="12" customFormat="false" ht="17.15" hidden="false" customHeight="false" outlineLevel="0" collapsed="false">
      <c r="A12" s="5" t="s">
        <v>9</v>
      </c>
      <c r="B12" s="6"/>
    </row>
    <row r="13" customFormat="false" ht="15" hidden="false" customHeight="false" outlineLevel="0" collapsed="false">
      <c r="A13" s="2" t="s">
        <v>10</v>
      </c>
      <c r="B13" s="6"/>
    </row>
    <row r="14" customFormat="false" ht="17.15" hidden="false" customHeight="false" outlineLevel="0" collapsed="false">
      <c r="A14" s="5" t="s">
        <v>11</v>
      </c>
      <c r="B14" s="6"/>
    </row>
    <row r="15" customFormat="false" ht="17.15" hidden="false" customHeight="false" outlineLevel="0" collapsed="false">
      <c r="A15" s="5" t="s">
        <v>12</v>
      </c>
      <c r="B15" s="6"/>
    </row>
    <row r="16" customFormat="false" ht="17.15" hidden="false" customHeight="false" outlineLevel="0" collapsed="false">
      <c r="A16" s="5" t="s">
        <v>13</v>
      </c>
      <c r="B16" s="6"/>
    </row>
    <row r="17" customFormat="false" ht="15" hidden="false" customHeight="false" outlineLevel="0" collapsed="false">
      <c r="A17" s="2"/>
      <c r="B17" s="3"/>
    </row>
    <row r="18" customFormat="false" ht="15" hidden="false" customHeight="false" outlineLevel="0" collapsed="false">
      <c r="A18" s="4" t="s">
        <v>14</v>
      </c>
      <c r="B18" s="2"/>
    </row>
    <row r="19" customFormat="false" ht="15" hidden="false" customHeight="false" outlineLevel="0" collapsed="false">
      <c r="A19" s="2"/>
      <c r="B19" s="3"/>
    </row>
    <row r="20" customFormat="false" ht="17.15" hidden="false" customHeight="false" outlineLevel="0" collapsed="false">
      <c r="A20" s="5" t="s">
        <v>15</v>
      </c>
      <c r="B20" s="6" t="n">
        <v>90</v>
      </c>
    </row>
    <row r="21" customFormat="false" ht="17.15" hidden="false" customHeight="false" outlineLevel="0" collapsed="false">
      <c r="A21" s="5" t="s">
        <v>16</v>
      </c>
      <c r="B21" s="6" t="n">
        <v>60</v>
      </c>
    </row>
    <row r="22" customFormat="false" ht="17.15" hidden="false" customHeight="false" outlineLevel="0" collapsed="false">
      <c r="A22" s="5" t="s">
        <v>17</v>
      </c>
      <c r="B22" s="6" t="n">
        <v>30</v>
      </c>
    </row>
    <row r="23" customFormat="false" ht="15" hidden="false" customHeight="false" outlineLevel="0" collapsed="false">
      <c r="A23" s="5" t="s">
        <v>18</v>
      </c>
      <c r="B23" s="6" t="n">
        <v>3</v>
      </c>
    </row>
    <row r="24" customFormat="false" ht="17.15" hidden="false" customHeight="false" outlineLevel="0" collapsed="false">
      <c r="A24" s="5" t="s">
        <v>19</v>
      </c>
      <c r="B24" s="7" t="s">
        <v>20</v>
      </c>
    </row>
    <row r="25" customFormat="false" ht="15" hidden="false" customHeight="false" outlineLevel="0" collapsed="false">
      <c r="A25" s="2"/>
      <c r="B25" s="3"/>
    </row>
    <row r="26" customFormat="false" ht="15" hidden="false" customHeight="false" outlineLevel="0" collapsed="false">
      <c r="A26" s="4" t="s">
        <v>21</v>
      </c>
      <c r="B26" s="2"/>
    </row>
    <row r="27" customFormat="false" ht="17.15" hidden="false" customHeight="false" outlineLevel="0" collapsed="false">
      <c r="A27" s="5" t="s">
        <v>22</v>
      </c>
      <c r="B27" s="3"/>
    </row>
    <row r="28" customFormat="false" ht="17.15" hidden="false" customHeight="false" outlineLevel="0" collapsed="false">
      <c r="A28" s="5" t="s">
        <v>23</v>
      </c>
      <c r="B28" s="3"/>
    </row>
    <row r="29" customFormat="false" ht="15" hidden="false" customHeight="false" outlineLevel="0" collapsed="false">
      <c r="A29" s="5" t="s">
        <v>24</v>
      </c>
      <c r="B29" s="3"/>
    </row>
    <row r="30" customFormat="false" ht="15" hidden="false" customHeight="false" outlineLevel="0" collapsed="false">
      <c r="A30" s="2"/>
      <c r="B30" s="3"/>
    </row>
    <row r="31" customFormat="false" ht="15" hidden="false" customHeight="false" outlineLevel="0" collapsed="false">
      <c r="A31" s="4" t="s">
        <v>25</v>
      </c>
      <c r="B31" s="2"/>
    </row>
    <row r="32" customFormat="false" ht="17.15" hidden="false" customHeight="false" outlineLevel="0" collapsed="false">
      <c r="A32" s="5" t="s">
        <v>26</v>
      </c>
      <c r="B32" s="3" t="s">
        <v>27</v>
      </c>
    </row>
    <row r="33" customFormat="false" ht="17.15" hidden="false" customHeight="false" outlineLevel="0" collapsed="false">
      <c r="A33" s="5" t="s">
        <v>28</v>
      </c>
      <c r="B33" s="3" t="s">
        <v>29</v>
      </c>
    </row>
    <row r="34" customFormat="false" ht="17.15" hidden="false" customHeight="false" outlineLevel="0" collapsed="false">
      <c r="A34" s="5" t="s">
        <v>30</v>
      </c>
      <c r="B34" s="3" t="s">
        <v>31</v>
      </c>
    </row>
    <row r="35" customFormat="false" ht="17.15" hidden="false" customHeight="false" outlineLevel="0" collapsed="false">
      <c r="A35" s="5" t="s">
        <v>32</v>
      </c>
      <c r="B35" s="3" t="s">
        <v>33</v>
      </c>
    </row>
    <row r="36" customFormat="false" ht="17.15" hidden="false" customHeight="false" outlineLevel="0" collapsed="false">
      <c r="A36" s="5" t="s">
        <v>34</v>
      </c>
      <c r="B36" s="3" t="s">
        <v>35</v>
      </c>
    </row>
    <row r="37" customFormat="false" ht="17.15" hidden="false" customHeight="false" outlineLevel="0" collapsed="false">
      <c r="A37" s="5" t="s">
        <v>36</v>
      </c>
      <c r="B37" s="3" t="s">
        <v>37</v>
      </c>
    </row>
    <row r="38" customFormat="false" ht="17.15" hidden="false" customHeight="false" outlineLevel="0" collapsed="false">
      <c r="A38" s="5" t="s">
        <v>38</v>
      </c>
      <c r="B38" s="3" t="s">
        <v>39</v>
      </c>
    </row>
    <row r="39" customFormat="false" ht="17.15" hidden="false" customHeight="false" outlineLevel="0" collapsed="false">
      <c r="A39" s="5" t="s">
        <v>40</v>
      </c>
      <c r="B39" s="3" t="s">
        <v>41</v>
      </c>
    </row>
    <row r="40" customFormat="false" ht="17.15" hidden="false" customHeight="false" outlineLevel="0" collapsed="false">
      <c r="A40" s="5" t="s">
        <v>42</v>
      </c>
      <c r="B40" s="3" t="s">
        <v>43</v>
      </c>
    </row>
    <row r="41" customFormat="false" ht="17.15" hidden="false" customHeight="false" outlineLevel="0" collapsed="false">
      <c r="A41" s="5" t="s">
        <v>44</v>
      </c>
      <c r="B41" s="7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13" min="3" style="0" width="12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30"/>
    <col collapsed="false" customWidth="true" hidden="false" outlineLevel="0" max="18" min="17" style="0" width="12"/>
  </cols>
  <sheetData>
    <row r="1" customFormat="false" ht="36" hidden="false" customHeight="true" outlineLevel="0" collapsed="false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  <c r="N1" s="9" t="s">
        <v>59</v>
      </c>
      <c r="O1" s="9" t="s">
        <v>60</v>
      </c>
      <c r="P1" s="8" t="s">
        <v>61</v>
      </c>
      <c r="Q1" s="8" t="s">
        <v>62</v>
      </c>
      <c r="R1" s="8" t="s">
        <v>63</v>
      </c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0"/>
      <c r="H2" s="10"/>
      <c r="I2" s="11"/>
      <c r="J2" s="10"/>
      <c r="K2" s="10"/>
      <c r="L2" s="11"/>
      <c r="M2" s="12"/>
      <c r="N2" s="13" t="str">
        <f aca="true">IF(OR(M2="",AND(K2&lt;&gt;"上市",K2&lt;&gt;"筛选")),"",TODAY()-M2)</f>
        <v/>
      </c>
      <c r="O2" s="14" t="str">
        <f aca="false">IF(N2="","",IF(N2&lt;=7,M2+7,IF(N2&lt;=14,M2+14,IF(N2&lt;=21,M2+21,"已超过21天"))))</f>
        <v/>
      </c>
      <c r="P2" s="10"/>
      <c r="Q2" s="12"/>
      <c r="R2" s="12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1"/>
      <c r="J3" s="10"/>
      <c r="K3" s="10"/>
      <c r="L3" s="11"/>
      <c r="M3" s="12"/>
      <c r="N3" s="13" t="str">
        <f aca="true">IF(OR(M3="",AND(K3&lt;&gt;"上市",K3&lt;&gt;"筛选")),"",TODAY()-M3)</f>
        <v/>
      </c>
      <c r="O3" s="14" t="str">
        <f aca="false">IF(N3="","",IF(N3&lt;=7,M3+7,IF(N3&lt;=14,M3+14,IF(N3&lt;=21,M3+21,"已超过21天"))))</f>
        <v/>
      </c>
      <c r="P3" s="10"/>
      <c r="Q3" s="12"/>
      <c r="R3" s="12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1"/>
      <c r="J4" s="10"/>
      <c r="K4" s="10"/>
      <c r="L4" s="11"/>
      <c r="M4" s="12"/>
      <c r="N4" s="13" t="str">
        <f aca="true">IF(OR(M4="",AND(K4&lt;&gt;"上市",K4&lt;&gt;"筛选")),"",TODAY()-M4)</f>
        <v/>
      </c>
      <c r="O4" s="14" t="str">
        <f aca="false">IF(N4="","",IF(N4&lt;=7,M4+7,IF(N4&lt;=14,M4+14,IF(N4&lt;=21,M4+21,"已超过21天"))))</f>
        <v/>
      </c>
      <c r="P4" s="10"/>
      <c r="Q4" s="12"/>
      <c r="R4" s="12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1"/>
      <c r="J5" s="10"/>
      <c r="K5" s="10"/>
      <c r="L5" s="11"/>
      <c r="M5" s="12"/>
      <c r="N5" s="13" t="str">
        <f aca="true">IF(OR(M5="",AND(K5&lt;&gt;"上市",K5&lt;&gt;"筛选")),"",TODAY()-M5)</f>
        <v/>
      </c>
      <c r="O5" s="14" t="str">
        <f aca="false">IF(N5="","",IF(N5&lt;=7,M5+7,IF(N5&lt;=14,M5+14,IF(N5&lt;=21,M5+21,"已超过21天"))))</f>
        <v/>
      </c>
      <c r="P5" s="10"/>
      <c r="Q5" s="12"/>
      <c r="R5" s="12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1"/>
      <c r="J6" s="10"/>
      <c r="K6" s="10"/>
      <c r="L6" s="11"/>
      <c r="M6" s="12"/>
      <c r="N6" s="13" t="str">
        <f aca="true">IF(OR(M6="",AND(K6&lt;&gt;"上市",K6&lt;&gt;"筛选")),"",TODAY()-M6)</f>
        <v/>
      </c>
      <c r="O6" s="14" t="str">
        <f aca="false">IF(N6="","",IF(N6&lt;=7,M6+7,IF(N6&lt;=14,M6+14,IF(N6&lt;=21,M6+21,"已超过21天"))))</f>
        <v/>
      </c>
      <c r="P6" s="10"/>
      <c r="Q6" s="12"/>
      <c r="R6" s="12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1"/>
      <c r="J7" s="10"/>
      <c r="K7" s="10"/>
      <c r="L7" s="11"/>
      <c r="M7" s="12"/>
      <c r="N7" s="13" t="str">
        <f aca="true">IF(OR(M7="",AND(K7&lt;&gt;"上市",K7&lt;&gt;"筛选")),"",TODAY()-M7)</f>
        <v/>
      </c>
      <c r="O7" s="14" t="str">
        <f aca="false">IF(N7="","",IF(N7&lt;=7,M7+7,IF(N7&lt;=14,M7+14,IF(N7&lt;=21,M7+21,"已超过21天"))))</f>
        <v/>
      </c>
      <c r="P7" s="10"/>
      <c r="Q7" s="12"/>
      <c r="R7" s="12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1"/>
      <c r="J8" s="10"/>
      <c r="K8" s="10"/>
      <c r="L8" s="11"/>
      <c r="M8" s="12"/>
      <c r="N8" s="13" t="str">
        <f aca="true">IF(OR(M8="",AND(K8&lt;&gt;"上市",K8&lt;&gt;"筛选")),"",TODAY()-M8)</f>
        <v/>
      </c>
      <c r="O8" s="14" t="str">
        <f aca="false">IF(N8="","",IF(N8&lt;=7,M8+7,IF(N8&lt;=14,M8+14,IF(N8&lt;=21,M8+21,"已超过21天"))))</f>
        <v/>
      </c>
      <c r="P8" s="10"/>
      <c r="Q8" s="12"/>
      <c r="R8" s="12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1"/>
      <c r="J9" s="10"/>
      <c r="K9" s="10"/>
      <c r="L9" s="11"/>
      <c r="M9" s="12"/>
      <c r="N9" s="13" t="str">
        <f aca="true">IF(OR(M9="",AND(K9&lt;&gt;"上市",K9&lt;&gt;"筛选")),"",TODAY()-M9)</f>
        <v/>
      </c>
      <c r="O9" s="14" t="str">
        <f aca="false">IF(N9="","",IF(N9&lt;=7,M9+7,IF(N9&lt;=14,M9+14,IF(N9&lt;=21,M9+21,"已超过21天"))))</f>
        <v/>
      </c>
      <c r="P9" s="10"/>
      <c r="Q9" s="12"/>
      <c r="R9" s="12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1"/>
      <c r="J10" s="10"/>
      <c r="K10" s="10"/>
      <c r="L10" s="11"/>
      <c r="M10" s="12"/>
      <c r="N10" s="13" t="str">
        <f aca="true">IF(OR(M10="",AND(K10&lt;&gt;"上市",K10&lt;&gt;"筛选")),"",TODAY()-M10)</f>
        <v/>
      </c>
      <c r="O10" s="14" t="str">
        <f aca="false">IF(N10="","",IF(N10&lt;=7,M10+7,IF(N10&lt;=14,M10+14,IF(N10&lt;=21,M10+21,"已超过21天"))))</f>
        <v/>
      </c>
      <c r="P10" s="10"/>
      <c r="Q10" s="12"/>
      <c r="R10" s="12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1"/>
      <c r="J11" s="10"/>
      <c r="K11" s="10"/>
      <c r="L11" s="11"/>
      <c r="M11" s="12"/>
      <c r="N11" s="13" t="str">
        <f aca="true">IF(OR(M11="",AND(K11&lt;&gt;"上市",K11&lt;&gt;"筛选")),"",TODAY()-M11)</f>
        <v/>
      </c>
      <c r="O11" s="14" t="str">
        <f aca="false">IF(N11="","",IF(N11&lt;=7,M11+7,IF(N11&lt;=14,M11+14,IF(N11&lt;=21,M11+21,"已超过21天"))))</f>
        <v/>
      </c>
      <c r="P11" s="10"/>
      <c r="Q11" s="12"/>
      <c r="R11" s="12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1"/>
      <c r="J12" s="10"/>
      <c r="K12" s="10"/>
      <c r="L12" s="11"/>
      <c r="M12" s="12"/>
      <c r="N12" s="13" t="str">
        <f aca="true">IF(OR(M12="",AND(K12&lt;&gt;"上市",K12&lt;&gt;"筛选")),"",TODAY()-M12)</f>
        <v/>
      </c>
      <c r="O12" s="14" t="str">
        <f aca="false">IF(N12="","",IF(N12&lt;=7,M12+7,IF(N12&lt;=14,M12+14,IF(N12&lt;=21,M12+21,"已超过21天"))))</f>
        <v/>
      </c>
      <c r="P12" s="10"/>
      <c r="Q12" s="12"/>
      <c r="R12" s="12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1"/>
      <c r="J13" s="10"/>
      <c r="K13" s="10"/>
      <c r="L13" s="11"/>
      <c r="M13" s="12"/>
      <c r="N13" s="13" t="str">
        <f aca="true">IF(OR(M13="",AND(K13&lt;&gt;"上市",K13&lt;&gt;"筛选")),"",TODAY()-M13)</f>
        <v/>
      </c>
      <c r="O13" s="14" t="str">
        <f aca="false">IF(N13="","",IF(N13&lt;=7,M13+7,IF(N13&lt;=14,M13+14,IF(N13&lt;=21,M13+21,"已超过21天"))))</f>
        <v/>
      </c>
      <c r="P13" s="10"/>
      <c r="Q13" s="12"/>
      <c r="R13" s="12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1"/>
      <c r="J14" s="10"/>
      <c r="K14" s="10"/>
      <c r="L14" s="11"/>
      <c r="M14" s="12"/>
      <c r="N14" s="13" t="str">
        <f aca="true">IF(OR(M14="",AND(K14&lt;&gt;"上市",K14&lt;&gt;"筛选")),"",TODAY()-M14)</f>
        <v/>
      </c>
      <c r="O14" s="14" t="str">
        <f aca="false">IF(N14="","",IF(N14&lt;=7,M14+7,IF(N14&lt;=14,M14+14,IF(N14&lt;=21,M14+21,"已超过21天"))))</f>
        <v/>
      </c>
      <c r="P14" s="10"/>
      <c r="Q14" s="12"/>
      <c r="R14" s="12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1"/>
      <c r="J15" s="10"/>
      <c r="K15" s="10"/>
      <c r="L15" s="11"/>
      <c r="M15" s="12"/>
      <c r="N15" s="13" t="str">
        <f aca="true">IF(OR(M15="",AND(K15&lt;&gt;"上市",K15&lt;&gt;"筛选")),"",TODAY()-M15)</f>
        <v/>
      </c>
      <c r="O15" s="14" t="str">
        <f aca="false">IF(N15="","",IF(N15&lt;=7,M15+7,IF(N15&lt;=14,M15+14,IF(N15&lt;=21,M15+21,"已超过21天"))))</f>
        <v/>
      </c>
      <c r="P15" s="10"/>
      <c r="Q15" s="12"/>
      <c r="R15" s="12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1"/>
      <c r="J16" s="10"/>
      <c r="K16" s="10"/>
      <c r="L16" s="11"/>
      <c r="M16" s="12"/>
      <c r="N16" s="13" t="str">
        <f aca="true">IF(OR(M16="",AND(K16&lt;&gt;"上市",K16&lt;&gt;"筛选")),"",TODAY()-M16)</f>
        <v/>
      </c>
      <c r="O16" s="14" t="str">
        <f aca="false">IF(N16="","",IF(N16&lt;=7,M16+7,IF(N16&lt;=14,M16+14,IF(N16&lt;=21,M16+21,"已超过21天"))))</f>
        <v/>
      </c>
      <c r="P16" s="10"/>
      <c r="Q16" s="12"/>
      <c r="R16" s="12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1"/>
      <c r="J17" s="10"/>
      <c r="K17" s="10"/>
      <c r="L17" s="11"/>
      <c r="M17" s="12"/>
      <c r="N17" s="13" t="str">
        <f aca="true">IF(OR(M17="",AND(K17&lt;&gt;"上市",K17&lt;&gt;"筛选")),"",TODAY()-M17)</f>
        <v/>
      </c>
      <c r="O17" s="14" t="str">
        <f aca="false">IF(N17="","",IF(N17&lt;=7,M17+7,IF(N17&lt;=14,M17+14,IF(N17&lt;=21,M17+21,"已超过21天"))))</f>
        <v/>
      </c>
      <c r="P17" s="10"/>
      <c r="Q17" s="12"/>
      <c r="R17" s="12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1"/>
      <c r="J18" s="10"/>
      <c r="K18" s="10"/>
      <c r="L18" s="11"/>
      <c r="M18" s="12"/>
      <c r="N18" s="13" t="str">
        <f aca="true">IF(OR(M18="",AND(K18&lt;&gt;"上市",K18&lt;&gt;"筛选")),"",TODAY()-M18)</f>
        <v/>
      </c>
      <c r="O18" s="14" t="str">
        <f aca="false">IF(N18="","",IF(N18&lt;=7,M18+7,IF(N18&lt;=14,M18+14,IF(N18&lt;=21,M18+21,"已超过21天"))))</f>
        <v/>
      </c>
      <c r="P18" s="10"/>
      <c r="Q18" s="12"/>
      <c r="R18" s="12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1"/>
      <c r="J19" s="10"/>
      <c r="K19" s="10"/>
      <c r="L19" s="11"/>
      <c r="M19" s="12"/>
      <c r="N19" s="13" t="str">
        <f aca="true">IF(OR(M19="",AND(K19&lt;&gt;"上市",K19&lt;&gt;"筛选")),"",TODAY()-M19)</f>
        <v/>
      </c>
      <c r="O19" s="14" t="str">
        <f aca="false">IF(N19="","",IF(N19&lt;=7,M19+7,IF(N19&lt;=14,M19+14,IF(N19&lt;=21,M19+21,"已超过21天"))))</f>
        <v/>
      </c>
      <c r="P19" s="10"/>
      <c r="Q19" s="12"/>
      <c r="R19" s="12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1"/>
      <c r="J20" s="10"/>
      <c r="K20" s="10"/>
      <c r="L20" s="11"/>
      <c r="M20" s="12"/>
      <c r="N20" s="13" t="str">
        <f aca="true">IF(OR(M20="",AND(K20&lt;&gt;"上市",K20&lt;&gt;"筛选")),"",TODAY()-M20)</f>
        <v/>
      </c>
      <c r="O20" s="14" t="str">
        <f aca="false">IF(N20="","",IF(N20&lt;=7,M20+7,IF(N20&lt;=14,M20+14,IF(N20&lt;=21,M20+21,"已超过21天"))))</f>
        <v/>
      </c>
      <c r="P20" s="10"/>
      <c r="Q20" s="12"/>
      <c r="R20" s="12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1"/>
      <c r="J21" s="10"/>
      <c r="K21" s="10"/>
      <c r="L21" s="11"/>
      <c r="M21" s="12"/>
      <c r="N21" s="13" t="str">
        <f aca="true">IF(OR(M21="",AND(K21&lt;&gt;"上市",K21&lt;&gt;"筛选")),"",TODAY()-M21)</f>
        <v/>
      </c>
      <c r="O21" s="14" t="str">
        <f aca="false">IF(N21="","",IF(N21&lt;=7,M21+7,IF(N21&lt;=14,M21+14,IF(N21&lt;=21,M21+21,"已超过21天"))))</f>
        <v/>
      </c>
      <c r="P21" s="10"/>
      <c r="Q21" s="12"/>
      <c r="R21" s="12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1"/>
      <c r="J22" s="10"/>
      <c r="K22" s="10"/>
      <c r="L22" s="11"/>
      <c r="M22" s="12"/>
      <c r="N22" s="13" t="str">
        <f aca="true">IF(OR(M22="",AND(K22&lt;&gt;"上市",K22&lt;&gt;"筛选")),"",TODAY()-M22)</f>
        <v/>
      </c>
      <c r="O22" s="14" t="str">
        <f aca="false">IF(N22="","",IF(N22&lt;=7,M22+7,IF(N22&lt;=14,M22+14,IF(N22&lt;=21,M22+21,"已超过21天"))))</f>
        <v/>
      </c>
      <c r="P22" s="10"/>
      <c r="Q22" s="12"/>
      <c r="R22" s="12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1"/>
      <c r="J23" s="10"/>
      <c r="K23" s="10"/>
      <c r="L23" s="11"/>
      <c r="M23" s="12"/>
      <c r="N23" s="13" t="str">
        <f aca="true">IF(OR(M23="",AND(K23&lt;&gt;"上市",K23&lt;&gt;"筛选")),"",TODAY()-M23)</f>
        <v/>
      </c>
      <c r="O23" s="14" t="str">
        <f aca="false">IF(N23="","",IF(N23&lt;=7,M23+7,IF(N23&lt;=14,M23+14,IF(N23&lt;=21,M23+21,"已超过21天"))))</f>
        <v/>
      </c>
      <c r="P23" s="10"/>
      <c r="Q23" s="12"/>
      <c r="R23" s="12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1"/>
      <c r="J24" s="10"/>
      <c r="K24" s="10"/>
      <c r="L24" s="11"/>
      <c r="M24" s="12"/>
      <c r="N24" s="13" t="str">
        <f aca="true">IF(OR(M24="",AND(K24&lt;&gt;"上市",K24&lt;&gt;"筛选")),"",TODAY()-M24)</f>
        <v/>
      </c>
      <c r="O24" s="14" t="str">
        <f aca="false">IF(N24="","",IF(N24&lt;=7,M24+7,IF(N24&lt;=14,M24+14,IF(N24&lt;=21,M24+21,"已超过21天"))))</f>
        <v/>
      </c>
      <c r="P24" s="10"/>
      <c r="Q24" s="12"/>
      <c r="R24" s="12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1"/>
      <c r="J25" s="10"/>
      <c r="K25" s="10"/>
      <c r="L25" s="11"/>
      <c r="M25" s="12"/>
      <c r="N25" s="13" t="str">
        <f aca="true">IF(OR(M25="",AND(K25&lt;&gt;"上市",K25&lt;&gt;"筛选")),"",TODAY()-M25)</f>
        <v/>
      </c>
      <c r="O25" s="14" t="str">
        <f aca="false">IF(N25="","",IF(N25&lt;=7,M25+7,IF(N25&lt;=14,M25+14,IF(N25&lt;=21,M25+21,"已超过21天"))))</f>
        <v/>
      </c>
      <c r="P25" s="10"/>
      <c r="Q25" s="12"/>
      <c r="R25" s="12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1"/>
      <c r="J26" s="10"/>
      <c r="K26" s="10"/>
      <c r="L26" s="11"/>
      <c r="M26" s="12"/>
      <c r="N26" s="13" t="str">
        <f aca="true">IF(OR(M26="",AND(K26&lt;&gt;"上市",K26&lt;&gt;"筛选")),"",TODAY()-M26)</f>
        <v/>
      </c>
      <c r="O26" s="14" t="str">
        <f aca="false">IF(N26="","",IF(N26&lt;=7,M26+7,IF(N26&lt;=14,M26+14,IF(N26&lt;=21,M26+21,"已超过21天"))))</f>
        <v/>
      </c>
      <c r="P26" s="10"/>
      <c r="Q26" s="12"/>
      <c r="R26" s="12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1"/>
      <c r="J27" s="10"/>
      <c r="K27" s="10"/>
      <c r="L27" s="11"/>
      <c r="M27" s="12"/>
      <c r="N27" s="13" t="str">
        <f aca="true">IF(OR(M27="",AND(K27&lt;&gt;"上市",K27&lt;&gt;"筛选")),"",TODAY()-M27)</f>
        <v/>
      </c>
      <c r="O27" s="14" t="str">
        <f aca="false">IF(N27="","",IF(N27&lt;=7,M27+7,IF(N27&lt;=14,M27+14,IF(N27&lt;=21,M27+21,"已超过21天"))))</f>
        <v/>
      </c>
      <c r="P27" s="10"/>
      <c r="Q27" s="12"/>
      <c r="R27" s="12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1"/>
      <c r="J28" s="10"/>
      <c r="K28" s="10"/>
      <c r="L28" s="11"/>
      <c r="M28" s="12"/>
      <c r="N28" s="13" t="str">
        <f aca="true">IF(OR(M28="",AND(K28&lt;&gt;"上市",K28&lt;&gt;"筛选")),"",TODAY()-M28)</f>
        <v/>
      </c>
      <c r="O28" s="14" t="str">
        <f aca="false">IF(N28="","",IF(N28&lt;=7,M28+7,IF(N28&lt;=14,M28+14,IF(N28&lt;=21,M28+21,"已超过21天"))))</f>
        <v/>
      </c>
      <c r="P28" s="10"/>
      <c r="Q28" s="12"/>
      <c r="R28" s="12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1"/>
      <c r="J29" s="10"/>
      <c r="K29" s="10"/>
      <c r="L29" s="11"/>
      <c r="M29" s="12"/>
      <c r="N29" s="13" t="str">
        <f aca="true">IF(OR(M29="",AND(K29&lt;&gt;"上市",K29&lt;&gt;"筛选")),"",TODAY()-M29)</f>
        <v/>
      </c>
      <c r="O29" s="14" t="str">
        <f aca="false">IF(N29="","",IF(N29&lt;=7,M29+7,IF(N29&lt;=14,M29+14,IF(N29&lt;=21,M29+21,"已超过21天"))))</f>
        <v/>
      </c>
      <c r="P29" s="10"/>
      <c r="Q29" s="12"/>
      <c r="R29" s="12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1"/>
      <c r="J30" s="10"/>
      <c r="K30" s="10"/>
      <c r="L30" s="11"/>
      <c r="M30" s="12"/>
      <c r="N30" s="13" t="str">
        <f aca="true">IF(OR(M30="",AND(K30&lt;&gt;"上市",K30&lt;&gt;"筛选")),"",TODAY()-M30)</f>
        <v/>
      </c>
      <c r="O30" s="14" t="str">
        <f aca="false">IF(N30="","",IF(N30&lt;=7,M30+7,IF(N30&lt;=14,M30+14,IF(N30&lt;=21,M30+21,"已超过21天"))))</f>
        <v/>
      </c>
      <c r="P30" s="10"/>
      <c r="Q30" s="12"/>
      <c r="R30" s="12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1"/>
      <c r="J31" s="10"/>
      <c r="K31" s="10"/>
      <c r="L31" s="11"/>
      <c r="M31" s="12"/>
      <c r="N31" s="13" t="str">
        <f aca="true">IF(OR(M31="",AND(K31&lt;&gt;"上市",K31&lt;&gt;"筛选")),"",TODAY()-M31)</f>
        <v/>
      </c>
      <c r="O31" s="14" t="str">
        <f aca="false">IF(N31="","",IF(N31&lt;=7,M31+7,IF(N31&lt;=14,M31+14,IF(N31&lt;=21,M31+21,"已超过21天"))))</f>
        <v/>
      </c>
      <c r="P31" s="10"/>
      <c r="Q31" s="12"/>
      <c r="R31" s="12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1"/>
      <c r="J32" s="10"/>
      <c r="K32" s="10"/>
      <c r="L32" s="11"/>
      <c r="M32" s="12"/>
      <c r="N32" s="13" t="str">
        <f aca="true">IF(OR(M32="",AND(K32&lt;&gt;"上市",K32&lt;&gt;"筛选")),"",TODAY()-M32)</f>
        <v/>
      </c>
      <c r="O32" s="14" t="str">
        <f aca="false">IF(N32="","",IF(N32&lt;=7,M32+7,IF(N32&lt;=14,M32+14,IF(N32&lt;=21,M32+21,"已超过21天"))))</f>
        <v/>
      </c>
      <c r="P32" s="10"/>
      <c r="Q32" s="12"/>
      <c r="R32" s="12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1"/>
      <c r="J33" s="10"/>
      <c r="K33" s="10"/>
      <c r="L33" s="11"/>
      <c r="M33" s="12"/>
      <c r="N33" s="13" t="str">
        <f aca="true">IF(OR(M33="",AND(K33&lt;&gt;"上市",K33&lt;&gt;"筛选")),"",TODAY()-M33)</f>
        <v/>
      </c>
      <c r="O33" s="14" t="str">
        <f aca="false">IF(N33="","",IF(N33&lt;=7,M33+7,IF(N33&lt;=14,M33+14,IF(N33&lt;=21,M33+21,"已超过21天"))))</f>
        <v/>
      </c>
      <c r="P33" s="10"/>
      <c r="Q33" s="12"/>
      <c r="R33" s="12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1"/>
      <c r="J34" s="10"/>
      <c r="K34" s="10"/>
      <c r="L34" s="11"/>
      <c r="M34" s="12"/>
      <c r="N34" s="13" t="str">
        <f aca="true">IF(OR(M34="",AND(K34&lt;&gt;"上市",K34&lt;&gt;"筛选")),"",TODAY()-M34)</f>
        <v/>
      </c>
      <c r="O34" s="14" t="str">
        <f aca="false">IF(N34="","",IF(N34&lt;=7,M34+7,IF(N34&lt;=14,M34+14,IF(N34&lt;=21,M34+21,"已超过21天"))))</f>
        <v/>
      </c>
      <c r="P34" s="10"/>
      <c r="Q34" s="12"/>
      <c r="R34" s="12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1"/>
      <c r="J35" s="10"/>
      <c r="K35" s="10"/>
      <c r="L35" s="11"/>
      <c r="M35" s="12"/>
      <c r="N35" s="13" t="str">
        <f aca="true">IF(OR(M35="",AND(K35&lt;&gt;"上市",K35&lt;&gt;"筛选")),"",TODAY()-M35)</f>
        <v/>
      </c>
      <c r="O35" s="14" t="str">
        <f aca="false">IF(N35="","",IF(N35&lt;=7,M35+7,IF(N35&lt;=14,M35+14,IF(N35&lt;=21,M35+21,"已超过21天"))))</f>
        <v/>
      </c>
      <c r="P35" s="10"/>
      <c r="Q35" s="12"/>
      <c r="R35" s="12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1"/>
      <c r="J36" s="10"/>
      <c r="K36" s="10"/>
      <c r="L36" s="11"/>
      <c r="M36" s="12"/>
      <c r="N36" s="13" t="str">
        <f aca="true">IF(OR(M36="",AND(K36&lt;&gt;"上市",K36&lt;&gt;"筛选")),"",TODAY()-M36)</f>
        <v/>
      </c>
      <c r="O36" s="14" t="str">
        <f aca="false">IF(N36="","",IF(N36&lt;=7,M36+7,IF(N36&lt;=14,M36+14,IF(N36&lt;=21,M36+21,"已超过21天"))))</f>
        <v/>
      </c>
      <c r="P36" s="10"/>
      <c r="Q36" s="12"/>
      <c r="R36" s="12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1"/>
      <c r="J37" s="10"/>
      <c r="K37" s="10"/>
      <c r="L37" s="11"/>
      <c r="M37" s="12"/>
      <c r="N37" s="13" t="str">
        <f aca="true">IF(OR(M37="",AND(K37&lt;&gt;"上市",K37&lt;&gt;"筛选")),"",TODAY()-M37)</f>
        <v/>
      </c>
      <c r="O37" s="14" t="str">
        <f aca="false">IF(N37="","",IF(N37&lt;=7,M37+7,IF(N37&lt;=14,M37+14,IF(N37&lt;=21,M37+21,"已超过21天"))))</f>
        <v/>
      </c>
      <c r="P37" s="10"/>
      <c r="Q37" s="12"/>
      <c r="R37" s="12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1"/>
      <c r="J38" s="10"/>
      <c r="K38" s="10"/>
      <c r="L38" s="11"/>
      <c r="M38" s="12"/>
      <c r="N38" s="13" t="str">
        <f aca="true">IF(OR(M38="",AND(K38&lt;&gt;"上市",K38&lt;&gt;"筛选")),"",TODAY()-M38)</f>
        <v/>
      </c>
      <c r="O38" s="14" t="str">
        <f aca="false">IF(N38="","",IF(N38&lt;=7,M38+7,IF(N38&lt;=14,M38+14,IF(N38&lt;=21,M38+21,"已超过21天"))))</f>
        <v/>
      </c>
      <c r="P38" s="10"/>
      <c r="Q38" s="12"/>
      <c r="R38" s="12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1"/>
      <c r="J39" s="10"/>
      <c r="K39" s="10"/>
      <c r="L39" s="11"/>
      <c r="M39" s="12"/>
      <c r="N39" s="13" t="str">
        <f aca="true">IF(OR(M39="",AND(K39&lt;&gt;"上市",K39&lt;&gt;"筛选")),"",TODAY()-M39)</f>
        <v/>
      </c>
      <c r="O39" s="14" t="str">
        <f aca="false">IF(N39="","",IF(N39&lt;=7,M39+7,IF(N39&lt;=14,M39+14,IF(N39&lt;=21,M39+21,"已超过21天"))))</f>
        <v/>
      </c>
      <c r="P39" s="10"/>
      <c r="Q39" s="12"/>
      <c r="R39" s="12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1"/>
      <c r="J40" s="10"/>
      <c r="K40" s="10"/>
      <c r="L40" s="11"/>
      <c r="M40" s="12"/>
      <c r="N40" s="13" t="str">
        <f aca="true">IF(OR(M40="",AND(K40&lt;&gt;"上市",K40&lt;&gt;"筛选")),"",TODAY()-M40)</f>
        <v/>
      </c>
      <c r="O40" s="14" t="str">
        <f aca="false">IF(N40="","",IF(N40&lt;=7,M40+7,IF(N40&lt;=14,M40+14,IF(N40&lt;=21,M40+21,"已超过21天"))))</f>
        <v/>
      </c>
      <c r="P40" s="10"/>
      <c r="Q40" s="12"/>
      <c r="R40" s="12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1"/>
      <c r="J41" s="10"/>
      <c r="K41" s="10"/>
      <c r="L41" s="11"/>
      <c r="M41" s="12"/>
      <c r="N41" s="13" t="str">
        <f aca="true">IF(OR(M41="",AND(K41&lt;&gt;"上市",K41&lt;&gt;"筛选")),"",TODAY()-M41)</f>
        <v/>
      </c>
      <c r="O41" s="14" t="str">
        <f aca="false">IF(N41="","",IF(N41&lt;=7,M41+7,IF(N41&lt;=14,M41+14,IF(N41&lt;=21,M41+21,"已超过21天"))))</f>
        <v/>
      </c>
      <c r="P41" s="10"/>
      <c r="Q41" s="12"/>
      <c r="R41" s="12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1"/>
      <c r="J42" s="10"/>
      <c r="K42" s="10"/>
      <c r="L42" s="11"/>
      <c r="M42" s="12"/>
      <c r="N42" s="13" t="str">
        <f aca="true">IF(OR(M42="",AND(K42&lt;&gt;"上市",K42&lt;&gt;"筛选")),"",TODAY()-M42)</f>
        <v/>
      </c>
      <c r="O42" s="14" t="str">
        <f aca="false">IF(N42="","",IF(N42&lt;=7,M42+7,IF(N42&lt;=14,M42+14,IF(N42&lt;=21,M42+21,"已超过21天"))))</f>
        <v/>
      </c>
      <c r="P42" s="10"/>
      <c r="Q42" s="12"/>
      <c r="R42" s="12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1"/>
      <c r="J43" s="10"/>
      <c r="K43" s="10"/>
      <c r="L43" s="11"/>
      <c r="M43" s="12"/>
      <c r="N43" s="13" t="str">
        <f aca="true">IF(OR(M43="",AND(K43&lt;&gt;"上市",K43&lt;&gt;"筛选")),"",TODAY()-M43)</f>
        <v/>
      </c>
      <c r="O43" s="14" t="str">
        <f aca="false">IF(N43="","",IF(N43&lt;=7,M43+7,IF(N43&lt;=14,M43+14,IF(N43&lt;=21,M43+21,"已超过21天"))))</f>
        <v/>
      </c>
      <c r="P43" s="10"/>
      <c r="Q43" s="12"/>
      <c r="R43" s="12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1"/>
      <c r="J44" s="10"/>
      <c r="K44" s="10"/>
      <c r="L44" s="11"/>
      <c r="M44" s="12"/>
      <c r="N44" s="13" t="str">
        <f aca="true">IF(OR(M44="",AND(K44&lt;&gt;"上市",K44&lt;&gt;"筛选")),"",TODAY()-M44)</f>
        <v/>
      </c>
      <c r="O44" s="14" t="str">
        <f aca="false">IF(N44="","",IF(N44&lt;=7,M44+7,IF(N44&lt;=14,M44+14,IF(N44&lt;=21,M44+21,"已超过21天"))))</f>
        <v/>
      </c>
      <c r="P44" s="10"/>
      <c r="Q44" s="12"/>
      <c r="R44" s="12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1"/>
      <c r="J45" s="10"/>
      <c r="K45" s="10"/>
      <c r="L45" s="11"/>
      <c r="M45" s="12"/>
      <c r="N45" s="13" t="str">
        <f aca="true">IF(OR(M45="",AND(K45&lt;&gt;"上市",K45&lt;&gt;"筛选")),"",TODAY()-M45)</f>
        <v/>
      </c>
      <c r="O45" s="14" t="str">
        <f aca="false">IF(N45="","",IF(N45&lt;=7,M45+7,IF(N45&lt;=14,M45+14,IF(N45&lt;=21,M45+21,"已超过21天"))))</f>
        <v/>
      </c>
      <c r="P45" s="10"/>
      <c r="Q45" s="12"/>
      <c r="R45" s="12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1"/>
      <c r="J46" s="10"/>
      <c r="K46" s="10"/>
      <c r="L46" s="11"/>
      <c r="M46" s="12"/>
      <c r="N46" s="13" t="str">
        <f aca="true">IF(OR(M46="",AND(K46&lt;&gt;"上市",K46&lt;&gt;"筛选")),"",TODAY()-M46)</f>
        <v/>
      </c>
      <c r="O46" s="14" t="str">
        <f aca="false">IF(N46="","",IF(N46&lt;=7,M46+7,IF(N46&lt;=14,M46+14,IF(N46&lt;=21,M46+21,"已超过21天"))))</f>
        <v/>
      </c>
      <c r="P46" s="10"/>
      <c r="Q46" s="12"/>
      <c r="R46" s="12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1"/>
      <c r="J47" s="10"/>
      <c r="K47" s="10"/>
      <c r="L47" s="11"/>
      <c r="M47" s="12"/>
      <c r="N47" s="13" t="str">
        <f aca="true">IF(OR(M47="",AND(K47&lt;&gt;"上市",K47&lt;&gt;"筛选")),"",TODAY()-M47)</f>
        <v/>
      </c>
      <c r="O47" s="14" t="str">
        <f aca="false">IF(N47="","",IF(N47&lt;=7,M47+7,IF(N47&lt;=14,M47+14,IF(N47&lt;=21,M47+21,"已超过21天"))))</f>
        <v/>
      </c>
      <c r="P47" s="10"/>
      <c r="Q47" s="12"/>
      <c r="R47" s="12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1"/>
      <c r="J48" s="10"/>
      <c r="K48" s="10"/>
      <c r="L48" s="11"/>
      <c r="M48" s="12"/>
      <c r="N48" s="13" t="str">
        <f aca="true">IF(OR(M48="",AND(K48&lt;&gt;"上市",K48&lt;&gt;"筛选")),"",TODAY()-M48)</f>
        <v/>
      </c>
      <c r="O48" s="14" t="str">
        <f aca="false">IF(N48="","",IF(N48&lt;=7,M48+7,IF(N48&lt;=14,M48+14,IF(N48&lt;=21,M48+21,"已超过21天"))))</f>
        <v/>
      </c>
      <c r="P48" s="10"/>
      <c r="Q48" s="12"/>
      <c r="R48" s="12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1"/>
      <c r="J49" s="10"/>
      <c r="K49" s="10"/>
      <c r="L49" s="11"/>
      <c r="M49" s="12"/>
      <c r="N49" s="13" t="str">
        <f aca="true">IF(OR(M49="",AND(K49&lt;&gt;"上市",K49&lt;&gt;"筛选")),"",TODAY()-M49)</f>
        <v/>
      </c>
      <c r="O49" s="14" t="str">
        <f aca="false">IF(N49="","",IF(N49&lt;=7,M49+7,IF(N49&lt;=14,M49+14,IF(N49&lt;=21,M49+21,"已超过21天"))))</f>
        <v/>
      </c>
      <c r="P49" s="10"/>
      <c r="Q49" s="12"/>
      <c r="R49" s="12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1"/>
      <c r="J50" s="10"/>
      <c r="K50" s="10"/>
      <c r="L50" s="11"/>
      <c r="M50" s="12"/>
      <c r="N50" s="13" t="str">
        <f aca="true">IF(OR(M50="",AND(K50&lt;&gt;"上市",K50&lt;&gt;"筛选")),"",TODAY()-M50)</f>
        <v/>
      </c>
      <c r="O50" s="14" t="str">
        <f aca="false">IF(N50="","",IF(N50&lt;=7,M50+7,IF(N50&lt;=14,M50+14,IF(N50&lt;=21,M50+21,"已超过21天"))))</f>
        <v/>
      </c>
      <c r="P50" s="10"/>
      <c r="Q50" s="12"/>
      <c r="R50" s="12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1"/>
      <c r="J51" s="10"/>
      <c r="K51" s="10"/>
      <c r="L51" s="11"/>
      <c r="M51" s="12"/>
      <c r="N51" s="13" t="str">
        <f aca="true">IF(OR(M51="",AND(K51&lt;&gt;"上市",K51&lt;&gt;"筛选")),"",TODAY()-M51)</f>
        <v/>
      </c>
      <c r="O51" s="14" t="str">
        <f aca="false">IF(N51="","",IF(N51&lt;=7,M51+7,IF(N51&lt;=14,M51+14,IF(N51&lt;=21,M51+21,"已超过21天"))))</f>
        <v/>
      </c>
      <c r="P51" s="10"/>
      <c r="Q51" s="12"/>
      <c r="R51" s="12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1"/>
      <c r="J52" s="10"/>
      <c r="K52" s="10"/>
      <c r="L52" s="11"/>
      <c r="M52" s="12"/>
      <c r="N52" s="13" t="str">
        <f aca="true">IF(OR(M52="",AND(K52&lt;&gt;"上市",K52&lt;&gt;"筛选")),"",TODAY()-M52)</f>
        <v/>
      </c>
      <c r="O52" s="14" t="str">
        <f aca="false">IF(N52="","",IF(N52&lt;=7,M52+7,IF(N52&lt;=14,M52+14,IF(N52&lt;=21,M52+21,"已超过21天"))))</f>
        <v/>
      </c>
      <c r="P52" s="10"/>
      <c r="Q52" s="12"/>
      <c r="R52" s="12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1"/>
      <c r="J53" s="10"/>
      <c r="K53" s="10"/>
      <c r="L53" s="11"/>
      <c r="M53" s="12"/>
      <c r="N53" s="13" t="str">
        <f aca="true">IF(OR(M53="",AND(K53&lt;&gt;"上市",K53&lt;&gt;"筛选")),"",TODAY()-M53)</f>
        <v/>
      </c>
      <c r="O53" s="14" t="str">
        <f aca="false">IF(N53="","",IF(N53&lt;=7,M53+7,IF(N53&lt;=14,M53+14,IF(N53&lt;=21,M53+21,"已超过21天"))))</f>
        <v/>
      </c>
      <c r="P53" s="10"/>
      <c r="Q53" s="12"/>
      <c r="R53" s="12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1"/>
      <c r="J54" s="10"/>
      <c r="K54" s="10"/>
      <c r="L54" s="11"/>
      <c r="M54" s="12"/>
      <c r="N54" s="13" t="str">
        <f aca="true">IF(OR(M54="",AND(K54&lt;&gt;"上市",K54&lt;&gt;"筛选")),"",TODAY()-M54)</f>
        <v/>
      </c>
      <c r="O54" s="14" t="str">
        <f aca="false">IF(N54="","",IF(N54&lt;=7,M54+7,IF(N54&lt;=14,M54+14,IF(N54&lt;=21,M54+21,"已超过21天"))))</f>
        <v/>
      </c>
      <c r="P54" s="10"/>
      <c r="Q54" s="12"/>
      <c r="R54" s="12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1"/>
      <c r="J55" s="10"/>
      <c r="K55" s="10"/>
      <c r="L55" s="11"/>
      <c r="M55" s="12"/>
      <c r="N55" s="13" t="str">
        <f aca="true">IF(OR(M55="",AND(K55&lt;&gt;"上市",K55&lt;&gt;"筛选")),"",TODAY()-M55)</f>
        <v/>
      </c>
      <c r="O55" s="14" t="str">
        <f aca="false">IF(N55="","",IF(N55&lt;=7,M55+7,IF(N55&lt;=14,M55+14,IF(N55&lt;=21,M55+21,"已超过21天"))))</f>
        <v/>
      </c>
      <c r="P55" s="10"/>
      <c r="Q55" s="12"/>
      <c r="R55" s="12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1"/>
      <c r="J56" s="10"/>
      <c r="K56" s="10"/>
      <c r="L56" s="11"/>
      <c r="M56" s="12"/>
      <c r="N56" s="13" t="str">
        <f aca="true">IF(OR(M56="",AND(K56&lt;&gt;"上市",K56&lt;&gt;"筛选")),"",TODAY()-M56)</f>
        <v/>
      </c>
      <c r="O56" s="14" t="str">
        <f aca="false">IF(N56="","",IF(N56&lt;=7,M56+7,IF(N56&lt;=14,M56+14,IF(N56&lt;=21,M56+21,"已超过21天"))))</f>
        <v/>
      </c>
      <c r="P56" s="10"/>
      <c r="Q56" s="12"/>
      <c r="R56" s="12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1"/>
      <c r="J57" s="10"/>
      <c r="K57" s="10"/>
      <c r="L57" s="11"/>
      <c r="M57" s="12"/>
      <c r="N57" s="13" t="str">
        <f aca="true">IF(OR(M57="",AND(K57&lt;&gt;"上市",K57&lt;&gt;"筛选")),"",TODAY()-M57)</f>
        <v/>
      </c>
      <c r="O57" s="14" t="str">
        <f aca="false">IF(N57="","",IF(N57&lt;=7,M57+7,IF(N57&lt;=14,M57+14,IF(N57&lt;=21,M57+21,"已超过21天"))))</f>
        <v/>
      </c>
      <c r="P57" s="10"/>
      <c r="Q57" s="12"/>
      <c r="R57" s="12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1"/>
      <c r="J58" s="10"/>
      <c r="K58" s="10"/>
      <c r="L58" s="11"/>
      <c r="M58" s="12"/>
      <c r="N58" s="13" t="str">
        <f aca="true">IF(OR(M58="",AND(K58&lt;&gt;"上市",K58&lt;&gt;"筛选")),"",TODAY()-M58)</f>
        <v/>
      </c>
      <c r="O58" s="14" t="str">
        <f aca="false">IF(N58="","",IF(N58&lt;=7,M58+7,IF(N58&lt;=14,M58+14,IF(N58&lt;=21,M58+21,"已超过21天"))))</f>
        <v/>
      </c>
      <c r="P58" s="10"/>
      <c r="Q58" s="12"/>
      <c r="R58" s="12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1"/>
      <c r="J59" s="10"/>
      <c r="K59" s="10"/>
      <c r="L59" s="11"/>
      <c r="M59" s="12"/>
      <c r="N59" s="13" t="str">
        <f aca="true">IF(OR(M59="",AND(K59&lt;&gt;"上市",K59&lt;&gt;"筛选")),"",TODAY()-M59)</f>
        <v/>
      </c>
      <c r="O59" s="14" t="str">
        <f aca="false">IF(N59="","",IF(N59&lt;=7,M59+7,IF(N59&lt;=14,M59+14,IF(N59&lt;=21,M59+21,"已超过21天"))))</f>
        <v/>
      </c>
      <c r="P59" s="10"/>
      <c r="Q59" s="12"/>
      <c r="R59" s="12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1"/>
      <c r="J60" s="10"/>
      <c r="K60" s="10"/>
      <c r="L60" s="11"/>
      <c r="M60" s="12"/>
      <c r="N60" s="13" t="str">
        <f aca="true">IF(OR(M60="",AND(K60&lt;&gt;"上市",K60&lt;&gt;"筛选")),"",TODAY()-M60)</f>
        <v/>
      </c>
      <c r="O60" s="14" t="str">
        <f aca="false">IF(N60="","",IF(N60&lt;=7,M60+7,IF(N60&lt;=14,M60+14,IF(N60&lt;=21,M60+21,"已超过21天"))))</f>
        <v/>
      </c>
      <c r="P60" s="10"/>
      <c r="Q60" s="12"/>
      <c r="R60" s="12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1"/>
      <c r="J61" s="10"/>
      <c r="K61" s="10"/>
      <c r="L61" s="11"/>
      <c r="M61" s="12"/>
      <c r="N61" s="13" t="str">
        <f aca="true">IF(OR(M61="",AND(K61&lt;&gt;"上市",K61&lt;&gt;"筛选")),"",TODAY()-M61)</f>
        <v/>
      </c>
      <c r="O61" s="14" t="str">
        <f aca="false">IF(N61="","",IF(N61&lt;=7,M61+7,IF(N61&lt;=14,M61+14,IF(N61&lt;=21,M61+21,"已超过21天"))))</f>
        <v/>
      </c>
      <c r="P61" s="10"/>
      <c r="Q61" s="12"/>
      <c r="R61" s="12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1"/>
      <c r="J62" s="10"/>
      <c r="K62" s="10"/>
      <c r="L62" s="11"/>
      <c r="M62" s="12"/>
      <c r="N62" s="13" t="str">
        <f aca="true">IF(OR(M62="",AND(K62&lt;&gt;"上市",K62&lt;&gt;"筛选")),"",TODAY()-M62)</f>
        <v/>
      </c>
      <c r="O62" s="14" t="str">
        <f aca="false">IF(N62="","",IF(N62&lt;=7,M62+7,IF(N62&lt;=14,M62+14,IF(N62&lt;=21,M62+21,"已超过21天"))))</f>
        <v/>
      </c>
      <c r="P62" s="10"/>
      <c r="Q62" s="12"/>
      <c r="R62" s="12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1"/>
      <c r="J63" s="10"/>
      <c r="K63" s="10"/>
      <c r="L63" s="11"/>
      <c r="M63" s="12"/>
      <c r="N63" s="13" t="str">
        <f aca="true">IF(OR(M63="",AND(K63&lt;&gt;"上市",K63&lt;&gt;"筛选")),"",TODAY()-M63)</f>
        <v/>
      </c>
      <c r="O63" s="14" t="str">
        <f aca="false">IF(N63="","",IF(N63&lt;=7,M63+7,IF(N63&lt;=14,M63+14,IF(N63&lt;=21,M63+21,"已超过21天"))))</f>
        <v/>
      </c>
      <c r="P63" s="10"/>
      <c r="Q63" s="12"/>
      <c r="R63" s="12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1"/>
      <c r="J64" s="10"/>
      <c r="K64" s="10"/>
      <c r="L64" s="11"/>
      <c r="M64" s="12"/>
      <c r="N64" s="13" t="str">
        <f aca="true">IF(OR(M64="",AND(K64&lt;&gt;"上市",K64&lt;&gt;"筛选")),"",TODAY()-M64)</f>
        <v/>
      </c>
      <c r="O64" s="14" t="str">
        <f aca="false">IF(N64="","",IF(N64&lt;=7,M64+7,IF(N64&lt;=14,M64+14,IF(N64&lt;=21,M64+21,"已超过21天"))))</f>
        <v/>
      </c>
      <c r="P64" s="10"/>
      <c r="Q64" s="12"/>
      <c r="R64" s="12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1"/>
      <c r="J65" s="10"/>
      <c r="K65" s="10"/>
      <c r="L65" s="11"/>
      <c r="M65" s="12"/>
      <c r="N65" s="13" t="str">
        <f aca="true">IF(OR(M65="",AND(K65&lt;&gt;"上市",K65&lt;&gt;"筛选")),"",TODAY()-M65)</f>
        <v/>
      </c>
      <c r="O65" s="14" t="str">
        <f aca="false">IF(N65="","",IF(N65&lt;=7,M65+7,IF(N65&lt;=14,M65+14,IF(N65&lt;=21,M65+21,"已超过21天"))))</f>
        <v/>
      </c>
      <c r="P65" s="10"/>
      <c r="Q65" s="12"/>
      <c r="R65" s="12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1"/>
      <c r="J66" s="10"/>
      <c r="K66" s="10"/>
      <c r="L66" s="11"/>
      <c r="M66" s="12"/>
      <c r="N66" s="13" t="str">
        <f aca="true">IF(OR(M66="",AND(K66&lt;&gt;"上市",K66&lt;&gt;"筛选")),"",TODAY()-M66)</f>
        <v/>
      </c>
      <c r="O66" s="14" t="str">
        <f aca="false">IF(N66="","",IF(N66&lt;=7,M66+7,IF(N66&lt;=14,M66+14,IF(N66&lt;=21,M66+21,"已超过21天"))))</f>
        <v/>
      </c>
      <c r="P66" s="10"/>
      <c r="Q66" s="12"/>
      <c r="R66" s="12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1"/>
      <c r="J67" s="10"/>
      <c r="K67" s="10"/>
      <c r="L67" s="11"/>
      <c r="M67" s="12"/>
      <c r="N67" s="13" t="str">
        <f aca="true">IF(OR(M67="",AND(K67&lt;&gt;"上市",K67&lt;&gt;"筛选")),"",TODAY()-M67)</f>
        <v/>
      </c>
      <c r="O67" s="14" t="str">
        <f aca="false">IF(N67="","",IF(N67&lt;=7,M67+7,IF(N67&lt;=14,M67+14,IF(N67&lt;=21,M67+21,"已超过21天"))))</f>
        <v/>
      </c>
      <c r="P67" s="10"/>
      <c r="Q67" s="12"/>
      <c r="R67" s="12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1"/>
      <c r="J68" s="10"/>
      <c r="K68" s="10"/>
      <c r="L68" s="11"/>
      <c r="M68" s="12"/>
      <c r="N68" s="13" t="str">
        <f aca="true">IF(OR(M68="",AND(K68&lt;&gt;"上市",K68&lt;&gt;"筛选")),"",TODAY()-M68)</f>
        <v/>
      </c>
      <c r="O68" s="14" t="str">
        <f aca="false">IF(N68="","",IF(N68&lt;=7,M68+7,IF(N68&lt;=14,M68+14,IF(N68&lt;=21,M68+21,"已超过21天"))))</f>
        <v/>
      </c>
      <c r="P68" s="10"/>
      <c r="Q68" s="12"/>
      <c r="R68" s="12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1"/>
      <c r="J69" s="10"/>
      <c r="K69" s="10"/>
      <c r="L69" s="11"/>
      <c r="M69" s="12"/>
      <c r="N69" s="13" t="str">
        <f aca="true">IF(OR(M69="",AND(K69&lt;&gt;"上市",K69&lt;&gt;"筛选")),"",TODAY()-M69)</f>
        <v/>
      </c>
      <c r="O69" s="14" t="str">
        <f aca="false">IF(N69="","",IF(N69&lt;=7,M69+7,IF(N69&lt;=14,M69+14,IF(N69&lt;=21,M69+21,"已超过21天"))))</f>
        <v/>
      </c>
      <c r="P69" s="10"/>
      <c r="Q69" s="12"/>
      <c r="R69" s="12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1"/>
      <c r="J70" s="10"/>
      <c r="K70" s="10"/>
      <c r="L70" s="11"/>
      <c r="M70" s="12"/>
      <c r="N70" s="13" t="str">
        <f aca="true">IF(OR(M70="",AND(K70&lt;&gt;"上市",K70&lt;&gt;"筛选")),"",TODAY()-M70)</f>
        <v/>
      </c>
      <c r="O70" s="14" t="str">
        <f aca="false">IF(N70="","",IF(N70&lt;=7,M70+7,IF(N70&lt;=14,M70+14,IF(N70&lt;=21,M70+21,"已超过21天"))))</f>
        <v/>
      </c>
      <c r="P70" s="10"/>
      <c r="Q70" s="12"/>
      <c r="R70" s="12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1"/>
      <c r="J71" s="10"/>
      <c r="K71" s="10"/>
      <c r="L71" s="11"/>
      <c r="M71" s="12"/>
      <c r="N71" s="13" t="str">
        <f aca="true">IF(OR(M71="",AND(K71&lt;&gt;"上市",K71&lt;&gt;"筛选")),"",TODAY()-M71)</f>
        <v/>
      </c>
      <c r="O71" s="14" t="str">
        <f aca="false">IF(N71="","",IF(N71&lt;=7,M71+7,IF(N71&lt;=14,M71+14,IF(N71&lt;=21,M71+21,"已超过21天"))))</f>
        <v/>
      </c>
      <c r="P71" s="10"/>
      <c r="Q71" s="12"/>
      <c r="R71" s="12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1"/>
      <c r="J72" s="10"/>
      <c r="K72" s="10"/>
      <c r="L72" s="11"/>
      <c r="M72" s="12"/>
      <c r="N72" s="13" t="str">
        <f aca="true">IF(OR(M72="",AND(K72&lt;&gt;"上市",K72&lt;&gt;"筛选")),"",TODAY()-M72)</f>
        <v/>
      </c>
      <c r="O72" s="14" t="str">
        <f aca="false">IF(N72="","",IF(N72&lt;=7,M72+7,IF(N72&lt;=14,M72+14,IF(N72&lt;=21,M72+21,"已超过21天"))))</f>
        <v/>
      </c>
      <c r="P72" s="10"/>
      <c r="Q72" s="12"/>
      <c r="R72" s="12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1"/>
      <c r="J73" s="10"/>
      <c r="K73" s="10"/>
      <c r="L73" s="11"/>
      <c r="M73" s="12"/>
      <c r="N73" s="13" t="str">
        <f aca="true">IF(OR(M73="",AND(K73&lt;&gt;"上市",K73&lt;&gt;"筛选")),"",TODAY()-M73)</f>
        <v/>
      </c>
      <c r="O73" s="14" t="str">
        <f aca="false">IF(N73="","",IF(N73&lt;=7,M73+7,IF(N73&lt;=14,M73+14,IF(N73&lt;=21,M73+21,"已超过21天"))))</f>
        <v/>
      </c>
      <c r="P73" s="10"/>
      <c r="Q73" s="12"/>
      <c r="R73" s="12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1"/>
      <c r="J74" s="10"/>
      <c r="K74" s="10"/>
      <c r="L74" s="11"/>
      <c r="M74" s="12"/>
      <c r="N74" s="13" t="str">
        <f aca="true">IF(OR(M74="",AND(K74&lt;&gt;"上市",K74&lt;&gt;"筛选")),"",TODAY()-M74)</f>
        <v/>
      </c>
      <c r="O74" s="14" t="str">
        <f aca="false">IF(N74="","",IF(N74&lt;=7,M74+7,IF(N74&lt;=14,M74+14,IF(N74&lt;=21,M74+21,"已超过21天"))))</f>
        <v/>
      </c>
      <c r="P74" s="10"/>
      <c r="Q74" s="12"/>
      <c r="R74" s="12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1"/>
      <c r="J75" s="10"/>
      <c r="K75" s="10"/>
      <c r="L75" s="11"/>
      <c r="M75" s="12"/>
      <c r="N75" s="13" t="str">
        <f aca="true">IF(OR(M75="",AND(K75&lt;&gt;"上市",K75&lt;&gt;"筛选")),"",TODAY()-M75)</f>
        <v/>
      </c>
      <c r="O75" s="14" t="str">
        <f aca="false">IF(N75="","",IF(N75&lt;=7,M75+7,IF(N75&lt;=14,M75+14,IF(N75&lt;=21,M75+21,"已超过21天"))))</f>
        <v/>
      </c>
      <c r="P75" s="10"/>
      <c r="Q75" s="12"/>
      <c r="R75" s="12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1"/>
      <c r="J76" s="10"/>
      <c r="K76" s="10"/>
      <c r="L76" s="11"/>
      <c r="M76" s="12"/>
      <c r="N76" s="13" t="str">
        <f aca="true">IF(OR(M76="",AND(K76&lt;&gt;"上市",K76&lt;&gt;"筛选")),"",TODAY()-M76)</f>
        <v/>
      </c>
      <c r="O76" s="14" t="str">
        <f aca="false">IF(N76="","",IF(N76&lt;=7,M76+7,IF(N76&lt;=14,M76+14,IF(N76&lt;=21,M76+21,"已超过21天"))))</f>
        <v/>
      </c>
      <c r="P76" s="10"/>
      <c r="Q76" s="12"/>
      <c r="R76" s="12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1"/>
      <c r="J77" s="10"/>
      <c r="K77" s="10"/>
      <c r="L77" s="11"/>
      <c r="M77" s="12"/>
      <c r="N77" s="13" t="str">
        <f aca="true">IF(OR(M77="",AND(K77&lt;&gt;"上市",K77&lt;&gt;"筛选")),"",TODAY()-M77)</f>
        <v/>
      </c>
      <c r="O77" s="14" t="str">
        <f aca="false">IF(N77="","",IF(N77&lt;=7,M77+7,IF(N77&lt;=14,M77+14,IF(N77&lt;=21,M77+21,"已超过21天"))))</f>
        <v/>
      </c>
      <c r="P77" s="10"/>
      <c r="Q77" s="12"/>
      <c r="R77" s="12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1"/>
      <c r="J78" s="10"/>
      <c r="K78" s="10"/>
      <c r="L78" s="11"/>
      <c r="M78" s="12"/>
      <c r="N78" s="13" t="str">
        <f aca="true">IF(OR(M78="",AND(K78&lt;&gt;"上市",K78&lt;&gt;"筛选")),"",TODAY()-M78)</f>
        <v/>
      </c>
      <c r="O78" s="14" t="str">
        <f aca="false">IF(N78="","",IF(N78&lt;=7,M78+7,IF(N78&lt;=14,M78+14,IF(N78&lt;=21,M78+21,"已超过21天"))))</f>
        <v/>
      </c>
      <c r="P78" s="10"/>
      <c r="Q78" s="12"/>
      <c r="R78" s="12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1"/>
      <c r="J79" s="10"/>
      <c r="K79" s="10"/>
      <c r="L79" s="11"/>
      <c r="M79" s="12"/>
      <c r="N79" s="13" t="str">
        <f aca="true">IF(OR(M79="",AND(K79&lt;&gt;"上市",K79&lt;&gt;"筛选")),"",TODAY()-M79)</f>
        <v/>
      </c>
      <c r="O79" s="14" t="str">
        <f aca="false">IF(N79="","",IF(N79&lt;=7,M79+7,IF(N79&lt;=14,M79+14,IF(N79&lt;=21,M79+21,"已超过21天"))))</f>
        <v/>
      </c>
      <c r="P79" s="10"/>
      <c r="Q79" s="12"/>
      <c r="R79" s="12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1"/>
      <c r="J80" s="10"/>
      <c r="K80" s="10"/>
      <c r="L80" s="11"/>
      <c r="M80" s="12"/>
      <c r="N80" s="13" t="str">
        <f aca="true">IF(OR(M80="",AND(K80&lt;&gt;"上市",K80&lt;&gt;"筛选")),"",TODAY()-M80)</f>
        <v/>
      </c>
      <c r="O80" s="14" t="str">
        <f aca="false">IF(N80="","",IF(N80&lt;=7,M80+7,IF(N80&lt;=14,M80+14,IF(N80&lt;=21,M80+21,"已超过21天"))))</f>
        <v/>
      </c>
      <c r="P80" s="10"/>
      <c r="Q80" s="12"/>
      <c r="R80" s="12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1"/>
      <c r="J81" s="10"/>
      <c r="K81" s="10"/>
      <c r="L81" s="11"/>
      <c r="M81" s="12"/>
      <c r="N81" s="13" t="str">
        <f aca="true">IF(OR(M81="",AND(K81&lt;&gt;"上市",K81&lt;&gt;"筛选")),"",TODAY()-M81)</f>
        <v/>
      </c>
      <c r="O81" s="14" t="str">
        <f aca="false">IF(N81="","",IF(N81&lt;=7,M81+7,IF(N81&lt;=14,M81+14,IF(N81&lt;=21,M81+21,"已超过21天"))))</f>
        <v/>
      </c>
      <c r="P81" s="10"/>
      <c r="Q81" s="12"/>
      <c r="R81" s="12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1"/>
      <c r="J82" s="10"/>
      <c r="K82" s="10"/>
      <c r="L82" s="11"/>
      <c r="M82" s="12"/>
      <c r="N82" s="13" t="str">
        <f aca="true">IF(OR(M82="",AND(K82&lt;&gt;"上市",K82&lt;&gt;"筛选")),"",TODAY()-M82)</f>
        <v/>
      </c>
      <c r="O82" s="14" t="str">
        <f aca="false">IF(N82="","",IF(N82&lt;=7,M82+7,IF(N82&lt;=14,M82+14,IF(N82&lt;=21,M82+21,"已超过21天"))))</f>
        <v/>
      </c>
      <c r="P82" s="10"/>
      <c r="Q82" s="12"/>
      <c r="R82" s="12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1"/>
      <c r="J83" s="10"/>
      <c r="K83" s="10"/>
      <c r="L83" s="11"/>
      <c r="M83" s="12"/>
      <c r="N83" s="13" t="str">
        <f aca="true">IF(OR(M83="",AND(K83&lt;&gt;"上市",K83&lt;&gt;"筛选")),"",TODAY()-M83)</f>
        <v/>
      </c>
      <c r="O83" s="14" t="str">
        <f aca="false">IF(N83="","",IF(N83&lt;=7,M83+7,IF(N83&lt;=14,M83+14,IF(N83&lt;=21,M83+21,"已超过21天"))))</f>
        <v/>
      </c>
      <c r="P83" s="10"/>
      <c r="Q83" s="12"/>
      <c r="R83" s="12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1"/>
      <c r="J84" s="10"/>
      <c r="K84" s="10"/>
      <c r="L84" s="11"/>
      <c r="M84" s="12"/>
      <c r="N84" s="13" t="str">
        <f aca="true">IF(OR(M84="",AND(K84&lt;&gt;"上市",K84&lt;&gt;"筛选")),"",TODAY()-M84)</f>
        <v/>
      </c>
      <c r="O84" s="14" t="str">
        <f aca="false">IF(N84="","",IF(N84&lt;=7,M84+7,IF(N84&lt;=14,M84+14,IF(N84&lt;=21,M84+21,"已超过21天"))))</f>
        <v/>
      </c>
      <c r="P84" s="10"/>
      <c r="Q84" s="12"/>
      <c r="R84" s="12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1"/>
      <c r="J85" s="10"/>
      <c r="K85" s="10"/>
      <c r="L85" s="11"/>
      <c r="M85" s="12"/>
      <c r="N85" s="13" t="str">
        <f aca="true">IF(OR(M85="",AND(K85&lt;&gt;"上市",K85&lt;&gt;"筛选")),"",TODAY()-M85)</f>
        <v/>
      </c>
      <c r="O85" s="14" t="str">
        <f aca="false">IF(N85="","",IF(N85&lt;=7,M85+7,IF(N85&lt;=14,M85+14,IF(N85&lt;=21,M85+21,"已超过21天"))))</f>
        <v/>
      </c>
      <c r="P85" s="10"/>
      <c r="Q85" s="12"/>
      <c r="R85" s="12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1"/>
      <c r="J86" s="10"/>
      <c r="K86" s="10"/>
      <c r="L86" s="11"/>
      <c r="M86" s="12"/>
      <c r="N86" s="13" t="str">
        <f aca="true">IF(OR(M86="",AND(K86&lt;&gt;"上市",K86&lt;&gt;"筛选")),"",TODAY()-M86)</f>
        <v/>
      </c>
      <c r="O86" s="14" t="str">
        <f aca="false">IF(N86="","",IF(N86&lt;=7,M86+7,IF(N86&lt;=14,M86+14,IF(N86&lt;=21,M86+21,"已超过21天"))))</f>
        <v/>
      </c>
      <c r="P86" s="10"/>
      <c r="Q86" s="12"/>
      <c r="R86" s="12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1"/>
      <c r="J87" s="10"/>
      <c r="K87" s="10"/>
      <c r="L87" s="11"/>
      <c r="M87" s="12"/>
      <c r="N87" s="13" t="str">
        <f aca="true">IF(OR(M87="",AND(K87&lt;&gt;"上市",K87&lt;&gt;"筛选")),"",TODAY()-M87)</f>
        <v/>
      </c>
      <c r="O87" s="14" t="str">
        <f aca="false">IF(N87="","",IF(N87&lt;=7,M87+7,IF(N87&lt;=14,M87+14,IF(N87&lt;=21,M87+21,"已超过21天"))))</f>
        <v/>
      </c>
      <c r="P87" s="10"/>
      <c r="Q87" s="12"/>
      <c r="R87" s="12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1"/>
      <c r="J88" s="10"/>
      <c r="K88" s="10"/>
      <c r="L88" s="11"/>
      <c r="M88" s="12"/>
      <c r="N88" s="13" t="str">
        <f aca="true">IF(OR(M88="",AND(K88&lt;&gt;"上市",K88&lt;&gt;"筛选")),"",TODAY()-M88)</f>
        <v/>
      </c>
      <c r="O88" s="14" t="str">
        <f aca="false">IF(N88="","",IF(N88&lt;=7,M88+7,IF(N88&lt;=14,M88+14,IF(N88&lt;=21,M88+21,"已超过21天"))))</f>
        <v/>
      </c>
      <c r="P88" s="10"/>
      <c r="Q88" s="12"/>
      <c r="R88" s="12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1"/>
      <c r="J89" s="10"/>
      <c r="K89" s="10"/>
      <c r="L89" s="11"/>
      <c r="M89" s="12"/>
      <c r="N89" s="13" t="str">
        <f aca="true">IF(OR(M89="",AND(K89&lt;&gt;"上市",K89&lt;&gt;"筛选")),"",TODAY()-M89)</f>
        <v/>
      </c>
      <c r="O89" s="14" t="str">
        <f aca="false">IF(N89="","",IF(N89&lt;=7,M89+7,IF(N89&lt;=14,M89+14,IF(N89&lt;=21,M89+21,"已超过21天"))))</f>
        <v/>
      </c>
      <c r="P89" s="10"/>
      <c r="Q89" s="12"/>
      <c r="R89" s="12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1"/>
      <c r="J90" s="10"/>
      <c r="K90" s="10"/>
      <c r="L90" s="11"/>
      <c r="M90" s="12"/>
      <c r="N90" s="13" t="str">
        <f aca="true">IF(OR(M90="",AND(K90&lt;&gt;"上市",K90&lt;&gt;"筛选")),"",TODAY()-M90)</f>
        <v/>
      </c>
      <c r="O90" s="14" t="str">
        <f aca="false">IF(N90="","",IF(N90&lt;=7,M90+7,IF(N90&lt;=14,M90+14,IF(N90&lt;=21,M90+21,"已超过21天"))))</f>
        <v/>
      </c>
      <c r="P90" s="10"/>
      <c r="Q90" s="12"/>
      <c r="R90" s="12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1"/>
      <c r="J91" s="10"/>
      <c r="K91" s="10"/>
      <c r="L91" s="11"/>
      <c r="M91" s="12"/>
      <c r="N91" s="13" t="str">
        <f aca="true">IF(OR(M91="",AND(K91&lt;&gt;"上市",K91&lt;&gt;"筛选")),"",TODAY()-M91)</f>
        <v/>
      </c>
      <c r="O91" s="14" t="str">
        <f aca="false">IF(N91="","",IF(N91&lt;=7,M91+7,IF(N91&lt;=14,M91+14,IF(N91&lt;=21,M91+21,"已超过21天"))))</f>
        <v/>
      </c>
      <c r="P91" s="10"/>
      <c r="Q91" s="12"/>
      <c r="R91" s="12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1"/>
      <c r="J92" s="10"/>
      <c r="K92" s="10"/>
      <c r="L92" s="11"/>
      <c r="M92" s="12"/>
      <c r="N92" s="13" t="str">
        <f aca="true">IF(OR(M92="",AND(K92&lt;&gt;"上市",K92&lt;&gt;"筛选")),"",TODAY()-M92)</f>
        <v/>
      </c>
      <c r="O92" s="14" t="str">
        <f aca="false">IF(N92="","",IF(N92&lt;=7,M92+7,IF(N92&lt;=14,M92+14,IF(N92&lt;=21,M92+21,"已超过21天"))))</f>
        <v/>
      </c>
      <c r="P92" s="10"/>
      <c r="Q92" s="12"/>
      <c r="R92" s="12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1"/>
      <c r="J93" s="10"/>
      <c r="K93" s="10"/>
      <c r="L93" s="11"/>
      <c r="M93" s="12"/>
      <c r="N93" s="13" t="str">
        <f aca="true">IF(OR(M93="",AND(K93&lt;&gt;"上市",K93&lt;&gt;"筛选")),"",TODAY()-M93)</f>
        <v/>
      </c>
      <c r="O93" s="14" t="str">
        <f aca="false">IF(N93="","",IF(N93&lt;=7,M93+7,IF(N93&lt;=14,M93+14,IF(N93&lt;=21,M93+21,"已超过21天"))))</f>
        <v/>
      </c>
      <c r="P93" s="10"/>
      <c r="Q93" s="12"/>
      <c r="R93" s="12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1"/>
      <c r="J94" s="10"/>
      <c r="K94" s="10"/>
      <c r="L94" s="11"/>
      <c r="M94" s="12"/>
      <c r="N94" s="13" t="str">
        <f aca="true">IF(OR(M94="",AND(K94&lt;&gt;"上市",K94&lt;&gt;"筛选")),"",TODAY()-M94)</f>
        <v/>
      </c>
      <c r="O94" s="14" t="str">
        <f aca="false">IF(N94="","",IF(N94&lt;=7,M94+7,IF(N94&lt;=14,M94+14,IF(N94&lt;=21,M94+21,"已超过21天"))))</f>
        <v/>
      </c>
      <c r="P94" s="10"/>
      <c r="Q94" s="12"/>
      <c r="R94" s="12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1"/>
      <c r="J95" s="10"/>
      <c r="K95" s="10"/>
      <c r="L95" s="11"/>
      <c r="M95" s="12"/>
      <c r="N95" s="13" t="str">
        <f aca="true">IF(OR(M95="",AND(K95&lt;&gt;"上市",K95&lt;&gt;"筛选")),"",TODAY()-M95)</f>
        <v/>
      </c>
      <c r="O95" s="14" t="str">
        <f aca="false">IF(N95="","",IF(N95&lt;=7,M95+7,IF(N95&lt;=14,M95+14,IF(N95&lt;=21,M95+21,"已超过21天"))))</f>
        <v/>
      </c>
      <c r="P95" s="10"/>
      <c r="Q95" s="12"/>
      <c r="R95" s="12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1"/>
      <c r="J96" s="10"/>
      <c r="K96" s="10"/>
      <c r="L96" s="11"/>
      <c r="M96" s="12"/>
      <c r="N96" s="13" t="str">
        <f aca="true">IF(OR(M96="",AND(K96&lt;&gt;"上市",K96&lt;&gt;"筛选")),"",TODAY()-M96)</f>
        <v/>
      </c>
      <c r="O96" s="14" t="str">
        <f aca="false">IF(N96="","",IF(N96&lt;=7,M96+7,IF(N96&lt;=14,M96+14,IF(N96&lt;=21,M96+21,"已超过21天"))))</f>
        <v/>
      </c>
      <c r="P96" s="10"/>
      <c r="Q96" s="12"/>
      <c r="R96" s="12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1"/>
      <c r="J97" s="10"/>
      <c r="K97" s="10"/>
      <c r="L97" s="11"/>
      <c r="M97" s="12"/>
      <c r="N97" s="13" t="str">
        <f aca="true">IF(OR(M97="",AND(K97&lt;&gt;"上市",K97&lt;&gt;"筛选")),"",TODAY()-M97)</f>
        <v/>
      </c>
      <c r="O97" s="14" t="str">
        <f aca="false">IF(N97="","",IF(N97&lt;=7,M97+7,IF(N97&lt;=14,M97+14,IF(N97&lt;=21,M97+21,"已超过21天"))))</f>
        <v/>
      </c>
      <c r="P97" s="10"/>
      <c r="Q97" s="12"/>
      <c r="R97" s="12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1"/>
      <c r="J98" s="10"/>
      <c r="K98" s="10"/>
      <c r="L98" s="11"/>
      <c r="M98" s="12"/>
      <c r="N98" s="13" t="str">
        <f aca="true">IF(OR(M98="",AND(K98&lt;&gt;"上市",K98&lt;&gt;"筛选")),"",TODAY()-M98)</f>
        <v/>
      </c>
      <c r="O98" s="14" t="str">
        <f aca="false">IF(N98="","",IF(N98&lt;=7,M98+7,IF(N98&lt;=14,M98+14,IF(N98&lt;=21,M98+21,"已超过21天"))))</f>
        <v/>
      </c>
      <c r="P98" s="10"/>
      <c r="Q98" s="12"/>
      <c r="R98" s="12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1"/>
      <c r="J99" s="10"/>
      <c r="K99" s="10"/>
      <c r="L99" s="11"/>
      <c r="M99" s="12"/>
      <c r="N99" s="13" t="str">
        <f aca="true">IF(OR(M99="",AND(K99&lt;&gt;"上市",K99&lt;&gt;"筛选")),"",TODAY()-M99)</f>
        <v/>
      </c>
      <c r="O99" s="14" t="str">
        <f aca="false">IF(N99="","",IF(N99&lt;=7,M99+7,IF(N99&lt;=14,M99+14,IF(N99&lt;=21,M99+21,"已超过21天"))))</f>
        <v/>
      </c>
      <c r="P99" s="10"/>
      <c r="Q99" s="12"/>
      <c r="R99" s="12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1"/>
      <c r="J100" s="10"/>
      <c r="K100" s="10"/>
      <c r="L100" s="11"/>
      <c r="M100" s="12"/>
      <c r="N100" s="13" t="str">
        <f aca="true">IF(OR(M100="",AND(K100&lt;&gt;"上市",K100&lt;&gt;"筛选")),"",TODAY()-M100)</f>
        <v/>
      </c>
      <c r="O100" s="14" t="str">
        <f aca="false">IF(N100="","",IF(N100&lt;=7,M100+7,IF(N100&lt;=14,M100+14,IF(N100&lt;=21,M100+21,"已超过21天"))))</f>
        <v/>
      </c>
      <c r="P100" s="10"/>
      <c r="Q100" s="12"/>
      <c r="R100" s="12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1"/>
      <c r="J101" s="10"/>
      <c r="K101" s="10"/>
      <c r="L101" s="11"/>
      <c r="M101" s="12"/>
      <c r="N101" s="13" t="str">
        <f aca="true">IF(OR(M101="",AND(K101&lt;&gt;"上市",K101&lt;&gt;"筛选")),"",TODAY()-M101)</f>
        <v/>
      </c>
      <c r="O101" s="14" t="str">
        <f aca="false">IF(N101="","",IF(N101&lt;=7,M101+7,IF(N101&lt;=14,M101+14,IF(N101&lt;=21,M101+21,"已超过21天"))))</f>
        <v/>
      </c>
      <c r="P101" s="10"/>
      <c r="Q101" s="12"/>
      <c r="R101" s="12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1"/>
      <c r="J102" s="10"/>
      <c r="K102" s="10"/>
      <c r="L102" s="11"/>
      <c r="M102" s="12"/>
      <c r="N102" s="13" t="str">
        <f aca="true">IF(OR(M102="",AND(K102&lt;&gt;"上市",K102&lt;&gt;"筛选")),"",TODAY()-M102)</f>
        <v/>
      </c>
      <c r="O102" s="14" t="str">
        <f aca="false">IF(N102="","",IF(N102&lt;=7,M102+7,IF(N102&lt;=14,M102+14,IF(N102&lt;=21,M102+21,"已超过21天"))))</f>
        <v/>
      </c>
      <c r="P102" s="10"/>
      <c r="Q102" s="12"/>
      <c r="R102" s="12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1"/>
      <c r="J103" s="10"/>
      <c r="K103" s="10"/>
      <c r="L103" s="11"/>
      <c r="M103" s="12"/>
      <c r="N103" s="13" t="str">
        <f aca="true">IF(OR(M103="",AND(K103&lt;&gt;"上市",K103&lt;&gt;"筛选")),"",TODAY()-M103)</f>
        <v/>
      </c>
      <c r="O103" s="14" t="str">
        <f aca="false">IF(N103="","",IF(N103&lt;=7,M103+7,IF(N103&lt;=14,M103+14,IF(N103&lt;=21,M103+21,"已超过21天"))))</f>
        <v/>
      </c>
      <c r="P103" s="10"/>
      <c r="Q103" s="12"/>
      <c r="R103" s="12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1"/>
      <c r="J104" s="10"/>
      <c r="K104" s="10"/>
      <c r="L104" s="11"/>
      <c r="M104" s="12"/>
      <c r="N104" s="13" t="str">
        <f aca="true">IF(OR(M104="",AND(K104&lt;&gt;"上市",K104&lt;&gt;"筛选")),"",TODAY()-M104)</f>
        <v/>
      </c>
      <c r="O104" s="14" t="str">
        <f aca="false">IF(N104="","",IF(N104&lt;=7,M104+7,IF(N104&lt;=14,M104+14,IF(N104&lt;=21,M104+21,"已超过21天"))))</f>
        <v/>
      </c>
      <c r="P104" s="10"/>
      <c r="Q104" s="12"/>
      <c r="R104" s="12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1"/>
      <c r="J105" s="10"/>
      <c r="K105" s="10"/>
      <c r="L105" s="11"/>
      <c r="M105" s="12"/>
      <c r="N105" s="13" t="str">
        <f aca="true">IF(OR(M105="",AND(K105&lt;&gt;"上市",K105&lt;&gt;"筛选")),"",TODAY()-M105)</f>
        <v/>
      </c>
      <c r="O105" s="14" t="str">
        <f aca="false">IF(N105="","",IF(N105&lt;=7,M105+7,IF(N105&lt;=14,M105+14,IF(N105&lt;=21,M105+21,"已超过21天"))))</f>
        <v/>
      </c>
      <c r="P105" s="10"/>
      <c r="Q105" s="12"/>
      <c r="R105" s="12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1"/>
      <c r="J106" s="10"/>
      <c r="K106" s="10"/>
      <c r="L106" s="11"/>
      <c r="M106" s="12"/>
      <c r="N106" s="13" t="str">
        <f aca="true">IF(OR(M106="",AND(K106&lt;&gt;"上市",K106&lt;&gt;"筛选")),"",TODAY()-M106)</f>
        <v/>
      </c>
      <c r="O106" s="14" t="str">
        <f aca="false">IF(N106="","",IF(N106&lt;=7,M106+7,IF(N106&lt;=14,M106+14,IF(N106&lt;=21,M106+21,"已超过21天"))))</f>
        <v/>
      </c>
      <c r="P106" s="10"/>
      <c r="Q106" s="12"/>
      <c r="R106" s="12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1"/>
      <c r="J107" s="10"/>
      <c r="K107" s="10"/>
      <c r="L107" s="11"/>
      <c r="M107" s="12"/>
      <c r="N107" s="13" t="str">
        <f aca="true">IF(OR(M107="",AND(K107&lt;&gt;"上市",K107&lt;&gt;"筛选")),"",TODAY()-M107)</f>
        <v/>
      </c>
      <c r="O107" s="14" t="str">
        <f aca="false">IF(N107="","",IF(N107&lt;=7,M107+7,IF(N107&lt;=14,M107+14,IF(N107&lt;=21,M107+21,"已超过21天"))))</f>
        <v/>
      </c>
      <c r="P107" s="10"/>
      <c r="Q107" s="12"/>
      <c r="R107" s="12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1"/>
      <c r="J108" s="10"/>
      <c r="K108" s="10"/>
      <c r="L108" s="11"/>
      <c r="M108" s="12"/>
      <c r="N108" s="13" t="str">
        <f aca="true">IF(OR(M108="",AND(K108&lt;&gt;"上市",K108&lt;&gt;"筛选")),"",TODAY()-M108)</f>
        <v/>
      </c>
      <c r="O108" s="14" t="str">
        <f aca="false">IF(N108="","",IF(N108&lt;=7,M108+7,IF(N108&lt;=14,M108+14,IF(N108&lt;=21,M108+21,"已超过21天"))))</f>
        <v/>
      </c>
      <c r="P108" s="10"/>
      <c r="Q108" s="12"/>
      <c r="R108" s="12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1"/>
      <c r="J109" s="10"/>
      <c r="K109" s="10"/>
      <c r="L109" s="11"/>
      <c r="M109" s="12"/>
      <c r="N109" s="13" t="str">
        <f aca="true">IF(OR(M109="",AND(K109&lt;&gt;"上市",K109&lt;&gt;"筛选")),"",TODAY()-M109)</f>
        <v/>
      </c>
      <c r="O109" s="14" t="str">
        <f aca="false">IF(N109="","",IF(N109&lt;=7,M109+7,IF(N109&lt;=14,M109+14,IF(N109&lt;=21,M109+21,"已超过21天"))))</f>
        <v/>
      </c>
      <c r="P109" s="10"/>
      <c r="Q109" s="12"/>
      <c r="R109" s="12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1"/>
      <c r="J110" s="10"/>
      <c r="K110" s="10"/>
      <c r="L110" s="11"/>
      <c r="M110" s="12"/>
      <c r="N110" s="13" t="str">
        <f aca="true">IF(OR(M110="",AND(K110&lt;&gt;"上市",K110&lt;&gt;"筛选")),"",TODAY()-M110)</f>
        <v/>
      </c>
      <c r="O110" s="14" t="str">
        <f aca="false">IF(N110="","",IF(N110&lt;=7,M110+7,IF(N110&lt;=14,M110+14,IF(N110&lt;=21,M110+21,"已超过21天"))))</f>
        <v/>
      </c>
      <c r="P110" s="10"/>
      <c r="Q110" s="12"/>
      <c r="R110" s="12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1"/>
      <c r="J111" s="10"/>
      <c r="K111" s="10"/>
      <c r="L111" s="11"/>
      <c r="M111" s="12"/>
      <c r="N111" s="13" t="str">
        <f aca="true">IF(OR(M111="",AND(K111&lt;&gt;"上市",K111&lt;&gt;"筛选")),"",TODAY()-M111)</f>
        <v/>
      </c>
      <c r="O111" s="14" t="str">
        <f aca="false">IF(N111="","",IF(N111&lt;=7,M111+7,IF(N111&lt;=14,M111+14,IF(N111&lt;=21,M111+21,"已超过21天"))))</f>
        <v/>
      </c>
      <c r="P111" s="10"/>
      <c r="Q111" s="12"/>
      <c r="R111" s="12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1"/>
      <c r="J112" s="10"/>
      <c r="K112" s="10"/>
      <c r="L112" s="11"/>
      <c r="M112" s="12"/>
      <c r="N112" s="13" t="str">
        <f aca="true">IF(OR(M112="",AND(K112&lt;&gt;"上市",K112&lt;&gt;"筛选")),"",TODAY()-M112)</f>
        <v/>
      </c>
      <c r="O112" s="14" t="str">
        <f aca="false">IF(N112="","",IF(N112&lt;=7,M112+7,IF(N112&lt;=14,M112+14,IF(N112&lt;=21,M112+21,"已超过21天"))))</f>
        <v/>
      </c>
      <c r="P112" s="10"/>
      <c r="Q112" s="12"/>
      <c r="R112" s="12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1"/>
      <c r="J113" s="10"/>
      <c r="K113" s="10"/>
      <c r="L113" s="11"/>
      <c r="M113" s="12"/>
      <c r="N113" s="13" t="str">
        <f aca="true">IF(OR(M113="",AND(K113&lt;&gt;"上市",K113&lt;&gt;"筛选")),"",TODAY()-M113)</f>
        <v/>
      </c>
      <c r="O113" s="14" t="str">
        <f aca="false">IF(N113="","",IF(N113&lt;=7,M113+7,IF(N113&lt;=14,M113+14,IF(N113&lt;=21,M113+21,"已超过21天"))))</f>
        <v/>
      </c>
      <c r="P113" s="10"/>
      <c r="Q113" s="12"/>
      <c r="R113" s="12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1"/>
      <c r="J114" s="10"/>
      <c r="K114" s="10"/>
      <c r="L114" s="11"/>
      <c r="M114" s="12"/>
      <c r="N114" s="13" t="str">
        <f aca="true">IF(OR(M114="",AND(K114&lt;&gt;"上市",K114&lt;&gt;"筛选")),"",TODAY()-M114)</f>
        <v/>
      </c>
      <c r="O114" s="14" t="str">
        <f aca="false">IF(N114="","",IF(N114&lt;=7,M114+7,IF(N114&lt;=14,M114+14,IF(N114&lt;=21,M114+21,"已超过21天"))))</f>
        <v/>
      </c>
      <c r="P114" s="10"/>
      <c r="Q114" s="12"/>
      <c r="R114" s="12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1"/>
      <c r="J115" s="10"/>
      <c r="K115" s="10"/>
      <c r="L115" s="11"/>
      <c r="M115" s="12"/>
      <c r="N115" s="13" t="str">
        <f aca="true">IF(OR(M115="",AND(K115&lt;&gt;"上市",K115&lt;&gt;"筛选")),"",TODAY()-M115)</f>
        <v/>
      </c>
      <c r="O115" s="14" t="str">
        <f aca="false">IF(N115="","",IF(N115&lt;=7,M115+7,IF(N115&lt;=14,M115+14,IF(N115&lt;=21,M115+21,"已超过21天"))))</f>
        <v/>
      </c>
      <c r="P115" s="10"/>
      <c r="Q115" s="12"/>
      <c r="R115" s="12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1"/>
      <c r="J116" s="10"/>
      <c r="K116" s="10"/>
      <c r="L116" s="11"/>
      <c r="M116" s="12"/>
      <c r="N116" s="13" t="str">
        <f aca="true">IF(OR(M116="",AND(K116&lt;&gt;"上市",K116&lt;&gt;"筛选")),"",TODAY()-M116)</f>
        <v/>
      </c>
      <c r="O116" s="14" t="str">
        <f aca="false">IF(N116="","",IF(N116&lt;=7,M116+7,IF(N116&lt;=14,M116+14,IF(N116&lt;=21,M116+21,"已超过21天"))))</f>
        <v/>
      </c>
      <c r="P116" s="10"/>
      <c r="Q116" s="12"/>
      <c r="R116" s="12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1"/>
      <c r="J117" s="10"/>
      <c r="K117" s="10"/>
      <c r="L117" s="11"/>
      <c r="M117" s="12"/>
      <c r="N117" s="13" t="str">
        <f aca="true">IF(OR(M117="",AND(K117&lt;&gt;"上市",K117&lt;&gt;"筛选")),"",TODAY()-M117)</f>
        <v/>
      </c>
      <c r="O117" s="14" t="str">
        <f aca="false">IF(N117="","",IF(N117&lt;=7,M117+7,IF(N117&lt;=14,M117+14,IF(N117&lt;=21,M117+21,"已超过21天"))))</f>
        <v/>
      </c>
      <c r="P117" s="10"/>
      <c r="Q117" s="12"/>
      <c r="R117" s="12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1"/>
      <c r="J118" s="10"/>
      <c r="K118" s="10"/>
      <c r="L118" s="11"/>
      <c r="M118" s="12"/>
      <c r="N118" s="13" t="str">
        <f aca="true">IF(OR(M118="",AND(K118&lt;&gt;"上市",K118&lt;&gt;"筛选")),"",TODAY()-M118)</f>
        <v/>
      </c>
      <c r="O118" s="14" t="str">
        <f aca="false">IF(N118="","",IF(N118&lt;=7,M118+7,IF(N118&lt;=14,M118+14,IF(N118&lt;=21,M118+21,"已超过21天"))))</f>
        <v/>
      </c>
      <c r="P118" s="10"/>
      <c r="Q118" s="12"/>
      <c r="R118" s="12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1"/>
      <c r="J119" s="10"/>
      <c r="K119" s="10"/>
      <c r="L119" s="11"/>
      <c r="M119" s="12"/>
      <c r="N119" s="13" t="str">
        <f aca="true">IF(OR(M119="",AND(K119&lt;&gt;"上市",K119&lt;&gt;"筛选")),"",TODAY()-M119)</f>
        <v/>
      </c>
      <c r="O119" s="14" t="str">
        <f aca="false">IF(N119="","",IF(N119&lt;=7,M119+7,IF(N119&lt;=14,M119+14,IF(N119&lt;=21,M119+21,"已超过21天"))))</f>
        <v/>
      </c>
      <c r="P119" s="10"/>
      <c r="Q119" s="12"/>
      <c r="R119" s="12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1"/>
      <c r="J120" s="10"/>
      <c r="K120" s="10"/>
      <c r="L120" s="11"/>
      <c r="M120" s="12"/>
      <c r="N120" s="13" t="str">
        <f aca="true">IF(OR(M120="",AND(K120&lt;&gt;"上市",K120&lt;&gt;"筛选")),"",TODAY()-M120)</f>
        <v/>
      </c>
      <c r="O120" s="14" t="str">
        <f aca="false">IF(N120="","",IF(N120&lt;=7,M120+7,IF(N120&lt;=14,M120+14,IF(N120&lt;=21,M120+21,"已超过21天"))))</f>
        <v/>
      </c>
      <c r="P120" s="10"/>
      <c r="Q120" s="12"/>
      <c r="R120" s="12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1"/>
      <c r="J121" s="10"/>
      <c r="K121" s="10"/>
      <c r="L121" s="11"/>
      <c r="M121" s="12"/>
      <c r="N121" s="13" t="str">
        <f aca="true">IF(OR(M121="",AND(K121&lt;&gt;"上市",K121&lt;&gt;"筛选")),"",TODAY()-M121)</f>
        <v/>
      </c>
      <c r="O121" s="14" t="str">
        <f aca="false">IF(N121="","",IF(N121&lt;=7,M121+7,IF(N121&lt;=14,M121+14,IF(N121&lt;=21,M121+21,"已超过21天"))))</f>
        <v/>
      </c>
      <c r="P121" s="10"/>
      <c r="Q121" s="12"/>
      <c r="R121" s="12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1"/>
      <c r="J122" s="10"/>
      <c r="K122" s="10"/>
      <c r="L122" s="11"/>
      <c r="M122" s="12"/>
      <c r="N122" s="13" t="str">
        <f aca="true">IF(OR(M122="",AND(K122&lt;&gt;"上市",K122&lt;&gt;"筛选")),"",TODAY()-M122)</f>
        <v/>
      </c>
      <c r="O122" s="14" t="str">
        <f aca="false">IF(N122="","",IF(N122&lt;=7,M122+7,IF(N122&lt;=14,M122+14,IF(N122&lt;=21,M122+21,"已超过21天"))))</f>
        <v/>
      </c>
      <c r="P122" s="10"/>
      <c r="Q122" s="12"/>
      <c r="R122" s="12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1"/>
      <c r="J123" s="10"/>
      <c r="K123" s="10"/>
      <c r="L123" s="11"/>
      <c r="M123" s="12"/>
      <c r="N123" s="13" t="str">
        <f aca="true">IF(OR(M123="",AND(K123&lt;&gt;"上市",K123&lt;&gt;"筛选")),"",TODAY()-M123)</f>
        <v/>
      </c>
      <c r="O123" s="14" t="str">
        <f aca="false">IF(N123="","",IF(N123&lt;=7,M123+7,IF(N123&lt;=14,M123+14,IF(N123&lt;=21,M123+21,"已超过21天"))))</f>
        <v/>
      </c>
      <c r="P123" s="10"/>
      <c r="Q123" s="12"/>
      <c r="R123" s="12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1"/>
      <c r="J124" s="10"/>
      <c r="K124" s="10"/>
      <c r="L124" s="11"/>
      <c r="M124" s="12"/>
      <c r="N124" s="13" t="str">
        <f aca="true">IF(OR(M124="",AND(K124&lt;&gt;"上市",K124&lt;&gt;"筛选")),"",TODAY()-M124)</f>
        <v/>
      </c>
      <c r="O124" s="14" t="str">
        <f aca="false">IF(N124="","",IF(N124&lt;=7,M124+7,IF(N124&lt;=14,M124+14,IF(N124&lt;=21,M124+21,"已超过21天"))))</f>
        <v/>
      </c>
      <c r="P124" s="10"/>
      <c r="Q124" s="12"/>
      <c r="R124" s="12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1"/>
      <c r="J125" s="10"/>
      <c r="K125" s="10"/>
      <c r="L125" s="11"/>
      <c r="M125" s="12"/>
      <c r="N125" s="13" t="str">
        <f aca="true">IF(OR(M125="",AND(K125&lt;&gt;"上市",K125&lt;&gt;"筛选")),"",TODAY()-M125)</f>
        <v/>
      </c>
      <c r="O125" s="14" t="str">
        <f aca="false">IF(N125="","",IF(N125&lt;=7,M125+7,IF(N125&lt;=14,M125+14,IF(N125&lt;=21,M125+21,"已超过21天"))))</f>
        <v/>
      </c>
      <c r="P125" s="10"/>
      <c r="Q125" s="12"/>
      <c r="R125" s="12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1"/>
      <c r="J126" s="10"/>
      <c r="K126" s="10"/>
      <c r="L126" s="11"/>
      <c r="M126" s="12"/>
      <c r="N126" s="13" t="str">
        <f aca="true">IF(OR(M126="",AND(K126&lt;&gt;"上市",K126&lt;&gt;"筛选")),"",TODAY()-M126)</f>
        <v/>
      </c>
      <c r="O126" s="14" t="str">
        <f aca="false">IF(N126="","",IF(N126&lt;=7,M126+7,IF(N126&lt;=14,M126+14,IF(N126&lt;=21,M126+21,"已超过21天"))))</f>
        <v/>
      </c>
      <c r="P126" s="10"/>
      <c r="Q126" s="12"/>
      <c r="R126" s="12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1"/>
      <c r="J127" s="10"/>
      <c r="K127" s="10"/>
      <c r="L127" s="11"/>
      <c r="M127" s="12"/>
      <c r="N127" s="13" t="str">
        <f aca="true">IF(OR(M127="",AND(K127&lt;&gt;"上市",K127&lt;&gt;"筛选")),"",TODAY()-M127)</f>
        <v/>
      </c>
      <c r="O127" s="14" t="str">
        <f aca="false">IF(N127="","",IF(N127&lt;=7,M127+7,IF(N127&lt;=14,M127+14,IF(N127&lt;=21,M127+21,"已超过21天"))))</f>
        <v/>
      </c>
      <c r="P127" s="10"/>
      <c r="Q127" s="12"/>
      <c r="R127" s="12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1"/>
      <c r="J128" s="10"/>
      <c r="K128" s="10"/>
      <c r="L128" s="11"/>
      <c r="M128" s="12"/>
      <c r="N128" s="13" t="str">
        <f aca="true">IF(OR(M128="",AND(K128&lt;&gt;"上市",K128&lt;&gt;"筛选")),"",TODAY()-M128)</f>
        <v/>
      </c>
      <c r="O128" s="14" t="str">
        <f aca="false">IF(N128="","",IF(N128&lt;=7,M128+7,IF(N128&lt;=14,M128+14,IF(N128&lt;=21,M128+21,"已超过21天"))))</f>
        <v/>
      </c>
      <c r="P128" s="10"/>
      <c r="Q128" s="12"/>
      <c r="R128" s="12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1"/>
      <c r="J129" s="10"/>
      <c r="K129" s="10"/>
      <c r="L129" s="11"/>
      <c r="M129" s="12"/>
      <c r="N129" s="13" t="str">
        <f aca="true">IF(OR(M129="",AND(K129&lt;&gt;"上市",K129&lt;&gt;"筛选")),"",TODAY()-M129)</f>
        <v/>
      </c>
      <c r="O129" s="14" t="str">
        <f aca="false">IF(N129="","",IF(N129&lt;=7,M129+7,IF(N129&lt;=14,M129+14,IF(N129&lt;=21,M129+21,"已超过21天"))))</f>
        <v/>
      </c>
      <c r="P129" s="10"/>
      <c r="Q129" s="12"/>
      <c r="R129" s="12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1"/>
      <c r="J130" s="10"/>
      <c r="K130" s="10"/>
      <c r="L130" s="11"/>
      <c r="M130" s="12"/>
      <c r="N130" s="13" t="str">
        <f aca="true">IF(OR(M130="",AND(K130&lt;&gt;"上市",K130&lt;&gt;"筛选")),"",TODAY()-M130)</f>
        <v/>
      </c>
      <c r="O130" s="14" t="str">
        <f aca="false">IF(N130="","",IF(N130&lt;=7,M130+7,IF(N130&lt;=14,M130+14,IF(N130&lt;=21,M130+21,"已超过21天"))))</f>
        <v/>
      </c>
      <c r="P130" s="10"/>
      <c r="Q130" s="12"/>
      <c r="R130" s="12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1"/>
      <c r="J131" s="10"/>
      <c r="K131" s="10"/>
      <c r="L131" s="11"/>
      <c r="M131" s="12"/>
      <c r="N131" s="13" t="str">
        <f aca="true">IF(OR(M131="",AND(K131&lt;&gt;"上市",K131&lt;&gt;"筛选")),"",TODAY()-M131)</f>
        <v/>
      </c>
      <c r="O131" s="14" t="str">
        <f aca="false">IF(N131="","",IF(N131&lt;=7,M131+7,IF(N131&lt;=14,M131+14,IF(N131&lt;=21,M131+21,"已超过21天"))))</f>
        <v/>
      </c>
      <c r="P131" s="10"/>
      <c r="Q131" s="12"/>
      <c r="R131" s="12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1"/>
      <c r="J132" s="10"/>
      <c r="K132" s="10"/>
      <c r="L132" s="11"/>
      <c r="M132" s="12"/>
      <c r="N132" s="13" t="str">
        <f aca="true">IF(OR(M132="",AND(K132&lt;&gt;"上市",K132&lt;&gt;"筛选")),"",TODAY()-M132)</f>
        <v/>
      </c>
      <c r="O132" s="14" t="str">
        <f aca="false">IF(N132="","",IF(N132&lt;=7,M132+7,IF(N132&lt;=14,M132+14,IF(N132&lt;=21,M132+21,"已超过21天"))))</f>
        <v/>
      </c>
      <c r="P132" s="10"/>
      <c r="Q132" s="12"/>
      <c r="R132" s="12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1"/>
      <c r="J133" s="10"/>
      <c r="K133" s="10"/>
      <c r="L133" s="11"/>
      <c r="M133" s="12"/>
      <c r="N133" s="13" t="str">
        <f aca="true">IF(OR(M133="",AND(K133&lt;&gt;"上市",K133&lt;&gt;"筛选")),"",TODAY()-M133)</f>
        <v/>
      </c>
      <c r="O133" s="14" t="str">
        <f aca="false">IF(N133="","",IF(N133&lt;=7,M133+7,IF(N133&lt;=14,M133+14,IF(N133&lt;=21,M133+21,"已超过21天"))))</f>
        <v/>
      </c>
      <c r="P133" s="10"/>
      <c r="Q133" s="12"/>
      <c r="R133" s="12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1"/>
      <c r="J134" s="10"/>
      <c r="K134" s="10"/>
      <c r="L134" s="11"/>
      <c r="M134" s="12"/>
      <c r="N134" s="13" t="str">
        <f aca="true">IF(OR(M134="",AND(K134&lt;&gt;"上市",K134&lt;&gt;"筛选")),"",TODAY()-M134)</f>
        <v/>
      </c>
      <c r="O134" s="14" t="str">
        <f aca="false">IF(N134="","",IF(N134&lt;=7,M134+7,IF(N134&lt;=14,M134+14,IF(N134&lt;=21,M134+21,"已超过21天"))))</f>
        <v/>
      </c>
      <c r="P134" s="10"/>
      <c r="Q134" s="12"/>
      <c r="R134" s="12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1"/>
      <c r="J135" s="10"/>
      <c r="K135" s="10"/>
      <c r="L135" s="11"/>
      <c r="M135" s="12"/>
      <c r="N135" s="13" t="str">
        <f aca="true">IF(OR(M135="",AND(K135&lt;&gt;"上市",K135&lt;&gt;"筛选")),"",TODAY()-M135)</f>
        <v/>
      </c>
      <c r="O135" s="14" t="str">
        <f aca="false">IF(N135="","",IF(N135&lt;=7,M135+7,IF(N135&lt;=14,M135+14,IF(N135&lt;=21,M135+21,"已超过21天"))))</f>
        <v/>
      </c>
      <c r="P135" s="10"/>
      <c r="Q135" s="12"/>
      <c r="R135" s="12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1"/>
      <c r="J136" s="10"/>
      <c r="K136" s="10"/>
      <c r="L136" s="11"/>
      <c r="M136" s="12"/>
      <c r="N136" s="13" t="str">
        <f aca="true">IF(OR(M136="",AND(K136&lt;&gt;"上市",K136&lt;&gt;"筛选")),"",TODAY()-M136)</f>
        <v/>
      </c>
      <c r="O136" s="14" t="str">
        <f aca="false">IF(N136="","",IF(N136&lt;=7,M136+7,IF(N136&lt;=14,M136+14,IF(N136&lt;=21,M136+21,"已超过21天"))))</f>
        <v/>
      </c>
      <c r="P136" s="10"/>
      <c r="Q136" s="12"/>
      <c r="R136" s="12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1"/>
      <c r="J137" s="10"/>
      <c r="K137" s="10"/>
      <c r="L137" s="11"/>
      <c r="M137" s="12"/>
      <c r="N137" s="13" t="str">
        <f aca="true">IF(OR(M137="",AND(K137&lt;&gt;"上市",K137&lt;&gt;"筛选")),"",TODAY()-M137)</f>
        <v/>
      </c>
      <c r="O137" s="14" t="str">
        <f aca="false">IF(N137="","",IF(N137&lt;=7,M137+7,IF(N137&lt;=14,M137+14,IF(N137&lt;=21,M137+21,"已超过21天"))))</f>
        <v/>
      </c>
      <c r="P137" s="10"/>
      <c r="Q137" s="12"/>
      <c r="R137" s="12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1"/>
      <c r="J138" s="10"/>
      <c r="K138" s="10"/>
      <c r="L138" s="11"/>
      <c r="M138" s="12"/>
      <c r="N138" s="13" t="str">
        <f aca="true">IF(OR(M138="",AND(K138&lt;&gt;"上市",K138&lt;&gt;"筛选")),"",TODAY()-M138)</f>
        <v/>
      </c>
      <c r="O138" s="14" t="str">
        <f aca="false">IF(N138="","",IF(N138&lt;=7,M138+7,IF(N138&lt;=14,M138+14,IF(N138&lt;=21,M138+21,"已超过21天"))))</f>
        <v/>
      </c>
      <c r="P138" s="10"/>
      <c r="Q138" s="12"/>
      <c r="R138" s="12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1"/>
      <c r="J139" s="10"/>
      <c r="K139" s="10"/>
      <c r="L139" s="11"/>
      <c r="M139" s="12"/>
      <c r="N139" s="13" t="str">
        <f aca="true">IF(OR(M139="",AND(K139&lt;&gt;"上市",K139&lt;&gt;"筛选")),"",TODAY()-M139)</f>
        <v/>
      </c>
      <c r="O139" s="14" t="str">
        <f aca="false">IF(N139="","",IF(N139&lt;=7,M139+7,IF(N139&lt;=14,M139+14,IF(N139&lt;=21,M139+21,"已超过21天"))))</f>
        <v/>
      </c>
      <c r="P139" s="10"/>
      <c r="Q139" s="12"/>
      <c r="R139" s="12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1"/>
      <c r="J140" s="10"/>
      <c r="K140" s="10"/>
      <c r="L140" s="11"/>
      <c r="M140" s="12"/>
      <c r="N140" s="13" t="str">
        <f aca="true">IF(OR(M140="",AND(K140&lt;&gt;"上市",K140&lt;&gt;"筛选")),"",TODAY()-M140)</f>
        <v/>
      </c>
      <c r="O140" s="14" t="str">
        <f aca="false">IF(N140="","",IF(N140&lt;=7,M140+7,IF(N140&lt;=14,M140+14,IF(N140&lt;=21,M140+21,"已超过21天"))))</f>
        <v/>
      </c>
      <c r="P140" s="10"/>
      <c r="Q140" s="12"/>
      <c r="R140" s="12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1"/>
      <c r="J141" s="10"/>
      <c r="K141" s="10"/>
      <c r="L141" s="11"/>
      <c r="M141" s="12"/>
      <c r="N141" s="13" t="str">
        <f aca="true">IF(OR(M141="",AND(K141&lt;&gt;"上市",K141&lt;&gt;"筛选")),"",TODAY()-M141)</f>
        <v/>
      </c>
      <c r="O141" s="14" t="str">
        <f aca="false">IF(N141="","",IF(N141&lt;=7,M141+7,IF(N141&lt;=14,M141+14,IF(N141&lt;=21,M141+21,"已超过21天"))))</f>
        <v/>
      </c>
      <c r="P141" s="10"/>
      <c r="Q141" s="12"/>
      <c r="R141" s="12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1"/>
      <c r="J142" s="10"/>
      <c r="K142" s="10"/>
      <c r="L142" s="11"/>
      <c r="M142" s="12"/>
      <c r="N142" s="13" t="str">
        <f aca="true">IF(OR(M142="",AND(K142&lt;&gt;"上市",K142&lt;&gt;"筛选")),"",TODAY()-M142)</f>
        <v/>
      </c>
      <c r="O142" s="14" t="str">
        <f aca="false">IF(N142="","",IF(N142&lt;=7,M142+7,IF(N142&lt;=14,M142+14,IF(N142&lt;=21,M142+21,"已超过21天"))))</f>
        <v/>
      </c>
      <c r="P142" s="10"/>
      <c r="Q142" s="12"/>
      <c r="R142" s="12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1"/>
      <c r="J143" s="10"/>
      <c r="K143" s="10"/>
      <c r="L143" s="11"/>
      <c r="M143" s="12"/>
      <c r="N143" s="13" t="str">
        <f aca="true">IF(OR(M143="",AND(K143&lt;&gt;"上市",K143&lt;&gt;"筛选")),"",TODAY()-M143)</f>
        <v/>
      </c>
      <c r="O143" s="14" t="str">
        <f aca="false">IF(N143="","",IF(N143&lt;=7,M143+7,IF(N143&lt;=14,M143+14,IF(N143&lt;=21,M143+21,"已超过21天"))))</f>
        <v/>
      </c>
      <c r="P143" s="10"/>
      <c r="Q143" s="12"/>
      <c r="R143" s="12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1"/>
      <c r="J144" s="10"/>
      <c r="K144" s="10"/>
      <c r="L144" s="11"/>
      <c r="M144" s="12"/>
      <c r="N144" s="13" t="str">
        <f aca="true">IF(OR(M144="",AND(K144&lt;&gt;"上市",K144&lt;&gt;"筛选")),"",TODAY()-M144)</f>
        <v/>
      </c>
      <c r="O144" s="14" t="str">
        <f aca="false">IF(N144="","",IF(N144&lt;=7,M144+7,IF(N144&lt;=14,M144+14,IF(N144&lt;=21,M144+21,"已超过21天"))))</f>
        <v/>
      </c>
      <c r="P144" s="10"/>
      <c r="Q144" s="12"/>
      <c r="R144" s="12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1"/>
      <c r="J145" s="10"/>
      <c r="K145" s="10"/>
      <c r="L145" s="11"/>
      <c r="M145" s="12"/>
      <c r="N145" s="13" t="str">
        <f aca="true">IF(OR(M145="",AND(K145&lt;&gt;"上市",K145&lt;&gt;"筛选")),"",TODAY()-M145)</f>
        <v/>
      </c>
      <c r="O145" s="14" t="str">
        <f aca="false">IF(N145="","",IF(N145&lt;=7,M145+7,IF(N145&lt;=14,M145+14,IF(N145&lt;=21,M145+21,"已超过21天"))))</f>
        <v/>
      </c>
      <c r="P145" s="10"/>
      <c r="Q145" s="12"/>
      <c r="R145" s="12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1"/>
      <c r="J146" s="10"/>
      <c r="K146" s="10"/>
      <c r="L146" s="11"/>
      <c r="M146" s="12"/>
      <c r="N146" s="13" t="str">
        <f aca="true">IF(OR(M146="",AND(K146&lt;&gt;"上市",K146&lt;&gt;"筛选")),"",TODAY()-M146)</f>
        <v/>
      </c>
      <c r="O146" s="14" t="str">
        <f aca="false">IF(N146="","",IF(N146&lt;=7,M146+7,IF(N146&lt;=14,M146+14,IF(N146&lt;=21,M146+21,"已超过21天"))))</f>
        <v/>
      </c>
      <c r="P146" s="10"/>
      <c r="Q146" s="12"/>
      <c r="R146" s="12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1"/>
      <c r="J147" s="10"/>
      <c r="K147" s="10"/>
      <c r="L147" s="11"/>
      <c r="M147" s="12"/>
      <c r="N147" s="13" t="str">
        <f aca="true">IF(OR(M147="",AND(K147&lt;&gt;"上市",K147&lt;&gt;"筛选")),"",TODAY()-M147)</f>
        <v/>
      </c>
      <c r="O147" s="14" t="str">
        <f aca="false">IF(N147="","",IF(N147&lt;=7,M147+7,IF(N147&lt;=14,M147+14,IF(N147&lt;=21,M147+21,"已超过21天"))))</f>
        <v/>
      </c>
      <c r="P147" s="10"/>
      <c r="Q147" s="12"/>
      <c r="R147" s="12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1"/>
      <c r="J148" s="10"/>
      <c r="K148" s="10"/>
      <c r="L148" s="11"/>
      <c r="M148" s="12"/>
      <c r="N148" s="13" t="str">
        <f aca="true">IF(OR(M148="",AND(K148&lt;&gt;"上市",K148&lt;&gt;"筛选")),"",TODAY()-M148)</f>
        <v/>
      </c>
      <c r="O148" s="14" t="str">
        <f aca="false">IF(N148="","",IF(N148&lt;=7,M148+7,IF(N148&lt;=14,M148+14,IF(N148&lt;=21,M148+21,"已超过21天"))))</f>
        <v/>
      </c>
      <c r="P148" s="10"/>
      <c r="Q148" s="12"/>
      <c r="R148" s="12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1"/>
      <c r="J149" s="10"/>
      <c r="K149" s="10"/>
      <c r="L149" s="11"/>
      <c r="M149" s="12"/>
      <c r="N149" s="13" t="str">
        <f aca="true">IF(OR(M149="",AND(K149&lt;&gt;"上市",K149&lt;&gt;"筛选")),"",TODAY()-M149)</f>
        <v/>
      </c>
      <c r="O149" s="14" t="str">
        <f aca="false">IF(N149="","",IF(N149&lt;=7,M149+7,IF(N149&lt;=14,M149+14,IF(N149&lt;=21,M149+21,"已超过21天"))))</f>
        <v/>
      </c>
      <c r="P149" s="10"/>
      <c r="Q149" s="12"/>
      <c r="R149" s="12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1"/>
      <c r="J150" s="10"/>
      <c r="K150" s="10"/>
      <c r="L150" s="11"/>
      <c r="M150" s="12"/>
      <c r="N150" s="13" t="str">
        <f aca="true">IF(OR(M150="",AND(K150&lt;&gt;"上市",K150&lt;&gt;"筛选")),"",TODAY()-M150)</f>
        <v/>
      </c>
      <c r="O150" s="14" t="str">
        <f aca="false">IF(N150="","",IF(N150&lt;=7,M150+7,IF(N150&lt;=14,M150+14,IF(N150&lt;=21,M150+21,"已超过21天"))))</f>
        <v/>
      </c>
      <c r="P150" s="10"/>
      <c r="Q150" s="12"/>
      <c r="R150" s="12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1"/>
      <c r="J151" s="10"/>
      <c r="K151" s="10"/>
      <c r="L151" s="11"/>
      <c r="M151" s="12"/>
      <c r="N151" s="13" t="str">
        <f aca="true">IF(OR(M151="",AND(K151&lt;&gt;"上市",K151&lt;&gt;"筛选")),"",TODAY()-M151)</f>
        <v/>
      </c>
      <c r="O151" s="14" t="str">
        <f aca="false">IF(N151="","",IF(N151&lt;=7,M151+7,IF(N151&lt;=14,M151+14,IF(N151&lt;=21,M151+21,"已超过21天"))))</f>
        <v/>
      </c>
      <c r="P151" s="10"/>
      <c r="Q151" s="12"/>
      <c r="R151" s="12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1"/>
      <c r="J152" s="10"/>
      <c r="K152" s="10"/>
      <c r="L152" s="11"/>
      <c r="M152" s="12"/>
      <c r="N152" s="13" t="str">
        <f aca="true">IF(OR(M152="",AND(K152&lt;&gt;"上市",K152&lt;&gt;"筛选")),"",TODAY()-M152)</f>
        <v/>
      </c>
      <c r="O152" s="14" t="str">
        <f aca="false">IF(N152="","",IF(N152&lt;=7,M152+7,IF(N152&lt;=14,M152+14,IF(N152&lt;=21,M152+21,"已超过21天"))))</f>
        <v/>
      </c>
      <c r="P152" s="10"/>
      <c r="Q152" s="12"/>
      <c r="R152" s="12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1"/>
      <c r="J153" s="10"/>
      <c r="K153" s="10"/>
      <c r="L153" s="11"/>
      <c r="M153" s="12"/>
      <c r="N153" s="13" t="str">
        <f aca="true">IF(OR(M153="",AND(K153&lt;&gt;"上市",K153&lt;&gt;"筛选")),"",TODAY()-M153)</f>
        <v/>
      </c>
      <c r="O153" s="14" t="str">
        <f aca="false">IF(N153="","",IF(N153&lt;=7,M153+7,IF(N153&lt;=14,M153+14,IF(N153&lt;=21,M153+21,"已超过21天"))))</f>
        <v/>
      </c>
      <c r="P153" s="10"/>
      <c r="Q153" s="12"/>
      <c r="R153" s="12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1"/>
      <c r="J154" s="10"/>
      <c r="K154" s="10"/>
      <c r="L154" s="11"/>
      <c r="M154" s="12"/>
      <c r="N154" s="13" t="str">
        <f aca="true">IF(OR(M154="",AND(K154&lt;&gt;"上市",K154&lt;&gt;"筛选")),"",TODAY()-M154)</f>
        <v/>
      </c>
      <c r="O154" s="14" t="str">
        <f aca="false">IF(N154="","",IF(N154&lt;=7,M154+7,IF(N154&lt;=14,M154+14,IF(N154&lt;=21,M154+21,"已超过21天"))))</f>
        <v/>
      </c>
      <c r="P154" s="10"/>
      <c r="Q154" s="12"/>
      <c r="R154" s="12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1"/>
      <c r="J155" s="10"/>
      <c r="K155" s="10"/>
      <c r="L155" s="11"/>
      <c r="M155" s="12"/>
      <c r="N155" s="13" t="str">
        <f aca="true">IF(OR(M155="",AND(K155&lt;&gt;"上市",K155&lt;&gt;"筛选")),"",TODAY()-M155)</f>
        <v/>
      </c>
      <c r="O155" s="14" t="str">
        <f aca="false">IF(N155="","",IF(N155&lt;=7,M155+7,IF(N155&lt;=14,M155+14,IF(N155&lt;=21,M155+21,"已超过21天"))))</f>
        <v/>
      </c>
      <c r="P155" s="10"/>
      <c r="Q155" s="12"/>
      <c r="R155" s="12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1"/>
      <c r="J156" s="10"/>
      <c r="K156" s="10"/>
      <c r="L156" s="11"/>
      <c r="M156" s="12"/>
      <c r="N156" s="13" t="str">
        <f aca="true">IF(OR(M156="",AND(K156&lt;&gt;"上市",K156&lt;&gt;"筛选")),"",TODAY()-M156)</f>
        <v/>
      </c>
      <c r="O156" s="14" t="str">
        <f aca="false">IF(N156="","",IF(N156&lt;=7,M156+7,IF(N156&lt;=14,M156+14,IF(N156&lt;=21,M156+21,"已超过21天"))))</f>
        <v/>
      </c>
      <c r="P156" s="10"/>
      <c r="Q156" s="12"/>
      <c r="R156" s="12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1"/>
      <c r="J157" s="10"/>
      <c r="K157" s="10"/>
      <c r="L157" s="11"/>
      <c r="M157" s="12"/>
      <c r="N157" s="13" t="str">
        <f aca="true">IF(OR(M157="",AND(K157&lt;&gt;"上市",K157&lt;&gt;"筛选")),"",TODAY()-M157)</f>
        <v/>
      </c>
      <c r="O157" s="14" t="str">
        <f aca="false">IF(N157="","",IF(N157&lt;=7,M157+7,IF(N157&lt;=14,M157+14,IF(N157&lt;=21,M157+21,"已超过21天"))))</f>
        <v/>
      </c>
      <c r="P157" s="10"/>
      <c r="Q157" s="12"/>
      <c r="R157" s="12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1"/>
      <c r="J158" s="10"/>
      <c r="K158" s="10"/>
      <c r="L158" s="11"/>
      <c r="M158" s="12"/>
      <c r="N158" s="13" t="str">
        <f aca="true">IF(OR(M158="",AND(K158&lt;&gt;"上市",K158&lt;&gt;"筛选")),"",TODAY()-M158)</f>
        <v/>
      </c>
      <c r="O158" s="14" t="str">
        <f aca="false">IF(N158="","",IF(N158&lt;=7,M158+7,IF(N158&lt;=14,M158+14,IF(N158&lt;=21,M158+21,"已超过21天"))))</f>
        <v/>
      </c>
      <c r="P158" s="10"/>
      <c r="Q158" s="12"/>
      <c r="R158" s="12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1"/>
      <c r="J159" s="10"/>
      <c r="K159" s="10"/>
      <c r="L159" s="11"/>
      <c r="M159" s="12"/>
      <c r="N159" s="13" t="str">
        <f aca="true">IF(OR(M159="",AND(K159&lt;&gt;"上市",K159&lt;&gt;"筛选")),"",TODAY()-M159)</f>
        <v/>
      </c>
      <c r="O159" s="14" t="str">
        <f aca="false">IF(N159="","",IF(N159&lt;=7,M159+7,IF(N159&lt;=14,M159+14,IF(N159&lt;=21,M159+21,"已超过21天"))))</f>
        <v/>
      </c>
      <c r="P159" s="10"/>
      <c r="Q159" s="12"/>
      <c r="R159" s="12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1"/>
      <c r="J160" s="10"/>
      <c r="K160" s="10"/>
      <c r="L160" s="11"/>
      <c r="M160" s="12"/>
      <c r="N160" s="13" t="str">
        <f aca="true">IF(OR(M160="",AND(K160&lt;&gt;"上市",K160&lt;&gt;"筛选")),"",TODAY()-M160)</f>
        <v/>
      </c>
      <c r="O160" s="14" t="str">
        <f aca="false">IF(N160="","",IF(N160&lt;=7,M160+7,IF(N160&lt;=14,M160+14,IF(N160&lt;=21,M160+21,"已超过21天"))))</f>
        <v/>
      </c>
      <c r="P160" s="10"/>
      <c r="Q160" s="12"/>
      <c r="R160" s="12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1"/>
      <c r="J161" s="10"/>
      <c r="K161" s="10"/>
      <c r="L161" s="11"/>
      <c r="M161" s="12"/>
      <c r="N161" s="13" t="str">
        <f aca="true">IF(OR(M161="",AND(K161&lt;&gt;"上市",K161&lt;&gt;"筛选")),"",TODAY()-M161)</f>
        <v/>
      </c>
      <c r="O161" s="14" t="str">
        <f aca="false">IF(N161="","",IF(N161&lt;=7,M161+7,IF(N161&lt;=14,M161+14,IF(N161&lt;=21,M161+21,"已超过21天"))))</f>
        <v/>
      </c>
      <c r="P161" s="10"/>
      <c r="Q161" s="12"/>
      <c r="R161" s="12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1"/>
      <c r="J162" s="10"/>
      <c r="K162" s="10"/>
      <c r="L162" s="11"/>
      <c r="M162" s="12"/>
      <c r="N162" s="13" t="str">
        <f aca="true">IF(OR(M162="",AND(K162&lt;&gt;"上市",K162&lt;&gt;"筛选")),"",TODAY()-M162)</f>
        <v/>
      </c>
      <c r="O162" s="14" t="str">
        <f aca="false">IF(N162="","",IF(N162&lt;=7,M162+7,IF(N162&lt;=14,M162+14,IF(N162&lt;=21,M162+21,"已超过21天"))))</f>
        <v/>
      </c>
      <c r="P162" s="10"/>
      <c r="Q162" s="12"/>
      <c r="R162" s="12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1"/>
      <c r="J163" s="10"/>
      <c r="K163" s="10"/>
      <c r="L163" s="11"/>
      <c r="M163" s="12"/>
      <c r="N163" s="13" t="str">
        <f aca="true">IF(OR(M163="",AND(K163&lt;&gt;"上市",K163&lt;&gt;"筛选")),"",TODAY()-M163)</f>
        <v/>
      </c>
      <c r="O163" s="14" t="str">
        <f aca="false">IF(N163="","",IF(N163&lt;=7,M163+7,IF(N163&lt;=14,M163+14,IF(N163&lt;=21,M163+21,"已超过21天"))))</f>
        <v/>
      </c>
      <c r="P163" s="10"/>
      <c r="Q163" s="12"/>
      <c r="R163" s="12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1"/>
      <c r="J164" s="10"/>
      <c r="K164" s="10"/>
      <c r="L164" s="11"/>
      <c r="M164" s="12"/>
      <c r="N164" s="13" t="str">
        <f aca="true">IF(OR(M164="",AND(K164&lt;&gt;"上市",K164&lt;&gt;"筛选")),"",TODAY()-M164)</f>
        <v/>
      </c>
      <c r="O164" s="14" t="str">
        <f aca="false">IF(N164="","",IF(N164&lt;=7,M164+7,IF(N164&lt;=14,M164+14,IF(N164&lt;=21,M164+21,"已超过21天"))))</f>
        <v/>
      </c>
      <c r="P164" s="10"/>
      <c r="Q164" s="12"/>
      <c r="R164" s="12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1"/>
      <c r="J165" s="10"/>
      <c r="K165" s="10"/>
      <c r="L165" s="11"/>
      <c r="M165" s="12"/>
      <c r="N165" s="13" t="str">
        <f aca="true">IF(OR(M165="",AND(K165&lt;&gt;"上市",K165&lt;&gt;"筛选")),"",TODAY()-M165)</f>
        <v/>
      </c>
      <c r="O165" s="14" t="str">
        <f aca="false">IF(N165="","",IF(N165&lt;=7,M165+7,IF(N165&lt;=14,M165+14,IF(N165&lt;=21,M165+21,"已超过21天"))))</f>
        <v/>
      </c>
      <c r="P165" s="10"/>
      <c r="Q165" s="12"/>
      <c r="R165" s="12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1"/>
      <c r="J166" s="10"/>
      <c r="K166" s="10"/>
      <c r="L166" s="11"/>
      <c r="M166" s="12"/>
      <c r="N166" s="13" t="str">
        <f aca="true">IF(OR(M166="",AND(K166&lt;&gt;"上市",K166&lt;&gt;"筛选")),"",TODAY()-M166)</f>
        <v/>
      </c>
      <c r="O166" s="14" t="str">
        <f aca="false">IF(N166="","",IF(N166&lt;=7,M166+7,IF(N166&lt;=14,M166+14,IF(N166&lt;=21,M166+21,"已超过21天"))))</f>
        <v/>
      </c>
      <c r="P166" s="10"/>
      <c r="Q166" s="12"/>
      <c r="R166" s="12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1"/>
      <c r="J167" s="10"/>
      <c r="K167" s="10"/>
      <c r="L167" s="11"/>
      <c r="M167" s="12"/>
      <c r="N167" s="13" t="str">
        <f aca="true">IF(OR(M167="",AND(K167&lt;&gt;"上市",K167&lt;&gt;"筛选")),"",TODAY()-M167)</f>
        <v/>
      </c>
      <c r="O167" s="14" t="str">
        <f aca="false">IF(N167="","",IF(N167&lt;=7,M167+7,IF(N167&lt;=14,M167+14,IF(N167&lt;=21,M167+21,"已超过21天"))))</f>
        <v/>
      </c>
      <c r="P167" s="10"/>
      <c r="Q167" s="12"/>
      <c r="R167" s="12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1"/>
      <c r="J168" s="10"/>
      <c r="K168" s="10"/>
      <c r="L168" s="11"/>
      <c r="M168" s="12"/>
      <c r="N168" s="13" t="str">
        <f aca="true">IF(OR(M168="",AND(K168&lt;&gt;"上市",K168&lt;&gt;"筛选")),"",TODAY()-M168)</f>
        <v/>
      </c>
      <c r="O168" s="14" t="str">
        <f aca="false">IF(N168="","",IF(N168&lt;=7,M168+7,IF(N168&lt;=14,M168+14,IF(N168&lt;=21,M168+21,"已超过21天"))))</f>
        <v/>
      </c>
      <c r="P168" s="10"/>
      <c r="Q168" s="12"/>
      <c r="R168" s="12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1"/>
      <c r="J169" s="10"/>
      <c r="K169" s="10"/>
      <c r="L169" s="11"/>
      <c r="M169" s="12"/>
      <c r="N169" s="13" t="str">
        <f aca="true">IF(OR(M169="",AND(K169&lt;&gt;"上市",K169&lt;&gt;"筛选")),"",TODAY()-M169)</f>
        <v/>
      </c>
      <c r="O169" s="14" t="str">
        <f aca="false">IF(N169="","",IF(N169&lt;=7,M169+7,IF(N169&lt;=14,M169+14,IF(N169&lt;=21,M169+21,"已超过21天"))))</f>
        <v/>
      </c>
      <c r="P169" s="10"/>
      <c r="Q169" s="12"/>
      <c r="R169" s="12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1"/>
      <c r="J170" s="10"/>
      <c r="K170" s="10"/>
      <c r="L170" s="11"/>
      <c r="M170" s="12"/>
      <c r="N170" s="13" t="str">
        <f aca="true">IF(OR(M170="",AND(K170&lt;&gt;"上市",K170&lt;&gt;"筛选")),"",TODAY()-M170)</f>
        <v/>
      </c>
      <c r="O170" s="14" t="str">
        <f aca="false">IF(N170="","",IF(N170&lt;=7,M170+7,IF(N170&lt;=14,M170+14,IF(N170&lt;=21,M170+21,"已超过21天"))))</f>
        <v/>
      </c>
      <c r="P170" s="10"/>
      <c r="Q170" s="12"/>
      <c r="R170" s="12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1"/>
      <c r="J171" s="10"/>
      <c r="K171" s="10"/>
      <c r="L171" s="11"/>
      <c r="M171" s="12"/>
      <c r="N171" s="13" t="str">
        <f aca="true">IF(OR(M171="",AND(K171&lt;&gt;"上市",K171&lt;&gt;"筛选")),"",TODAY()-M171)</f>
        <v/>
      </c>
      <c r="O171" s="14" t="str">
        <f aca="false">IF(N171="","",IF(N171&lt;=7,M171+7,IF(N171&lt;=14,M171+14,IF(N171&lt;=21,M171+21,"已超过21天"))))</f>
        <v/>
      </c>
      <c r="P171" s="10"/>
      <c r="Q171" s="12"/>
      <c r="R171" s="12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1"/>
      <c r="J172" s="10"/>
      <c r="K172" s="10"/>
      <c r="L172" s="11"/>
      <c r="M172" s="12"/>
      <c r="N172" s="13" t="str">
        <f aca="true">IF(OR(M172="",AND(K172&lt;&gt;"上市",K172&lt;&gt;"筛选")),"",TODAY()-M172)</f>
        <v/>
      </c>
      <c r="O172" s="14" t="str">
        <f aca="false">IF(N172="","",IF(N172&lt;=7,M172+7,IF(N172&lt;=14,M172+14,IF(N172&lt;=21,M172+21,"已超过21天"))))</f>
        <v/>
      </c>
      <c r="P172" s="10"/>
      <c r="Q172" s="12"/>
      <c r="R172" s="12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1"/>
      <c r="J173" s="10"/>
      <c r="K173" s="10"/>
      <c r="L173" s="11"/>
      <c r="M173" s="12"/>
      <c r="N173" s="13" t="str">
        <f aca="true">IF(OR(M173="",AND(K173&lt;&gt;"上市",K173&lt;&gt;"筛选")),"",TODAY()-M173)</f>
        <v/>
      </c>
      <c r="O173" s="14" t="str">
        <f aca="false">IF(N173="","",IF(N173&lt;=7,M173+7,IF(N173&lt;=14,M173+14,IF(N173&lt;=21,M173+21,"已超过21天"))))</f>
        <v/>
      </c>
      <c r="P173" s="10"/>
      <c r="Q173" s="12"/>
      <c r="R173" s="12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1"/>
      <c r="J174" s="10"/>
      <c r="K174" s="10"/>
      <c r="L174" s="11"/>
      <c r="M174" s="12"/>
      <c r="N174" s="13" t="str">
        <f aca="true">IF(OR(M174="",AND(K174&lt;&gt;"上市",K174&lt;&gt;"筛选")),"",TODAY()-M174)</f>
        <v/>
      </c>
      <c r="O174" s="14" t="str">
        <f aca="false">IF(N174="","",IF(N174&lt;=7,M174+7,IF(N174&lt;=14,M174+14,IF(N174&lt;=21,M174+21,"已超过21天"))))</f>
        <v/>
      </c>
      <c r="P174" s="10"/>
      <c r="Q174" s="12"/>
      <c r="R174" s="12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1"/>
      <c r="J175" s="10"/>
      <c r="K175" s="10"/>
      <c r="L175" s="11"/>
      <c r="M175" s="12"/>
      <c r="N175" s="13" t="str">
        <f aca="true">IF(OR(M175="",AND(K175&lt;&gt;"上市",K175&lt;&gt;"筛选")),"",TODAY()-M175)</f>
        <v/>
      </c>
      <c r="O175" s="14" t="str">
        <f aca="false">IF(N175="","",IF(N175&lt;=7,M175+7,IF(N175&lt;=14,M175+14,IF(N175&lt;=21,M175+21,"已超过21天"))))</f>
        <v/>
      </c>
      <c r="P175" s="10"/>
      <c r="Q175" s="12"/>
      <c r="R175" s="12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1"/>
      <c r="J176" s="10"/>
      <c r="K176" s="10"/>
      <c r="L176" s="11"/>
      <c r="M176" s="12"/>
      <c r="N176" s="13" t="str">
        <f aca="true">IF(OR(M176="",AND(K176&lt;&gt;"上市",K176&lt;&gt;"筛选")),"",TODAY()-M176)</f>
        <v/>
      </c>
      <c r="O176" s="14" t="str">
        <f aca="false">IF(N176="","",IF(N176&lt;=7,M176+7,IF(N176&lt;=14,M176+14,IF(N176&lt;=21,M176+21,"已超过21天"))))</f>
        <v/>
      </c>
      <c r="P176" s="10"/>
      <c r="Q176" s="12"/>
      <c r="R176" s="12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1"/>
      <c r="J177" s="10"/>
      <c r="K177" s="10"/>
      <c r="L177" s="11"/>
      <c r="M177" s="12"/>
      <c r="N177" s="13" t="str">
        <f aca="true">IF(OR(M177="",AND(K177&lt;&gt;"上市",K177&lt;&gt;"筛选")),"",TODAY()-M177)</f>
        <v/>
      </c>
      <c r="O177" s="14" t="str">
        <f aca="false">IF(N177="","",IF(N177&lt;=7,M177+7,IF(N177&lt;=14,M177+14,IF(N177&lt;=21,M177+21,"已超过21天"))))</f>
        <v/>
      </c>
      <c r="P177" s="10"/>
      <c r="Q177" s="12"/>
      <c r="R177" s="12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1"/>
      <c r="J178" s="10"/>
      <c r="K178" s="10"/>
      <c r="L178" s="11"/>
      <c r="M178" s="12"/>
      <c r="N178" s="13" t="str">
        <f aca="true">IF(OR(M178="",AND(K178&lt;&gt;"上市",K178&lt;&gt;"筛选")),"",TODAY()-M178)</f>
        <v/>
      </c>
      <c r="O178" s="14" t="str">
        <f aca="false">IF(N178="","",IF(N178&lt;=7,M178+7,IF(N178&lt;=14,M178+14,IF(N178&lt;=21,M178+21,"已超过21天"))))</f>
        <v/>
      </c>
      <c r="P178" s="10"/>
      <c r="Q178" s="12"/>
      <c r="R178" s="12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1"/>
      <c r="J179" s="10"/>
      <c r="K179" s="10"/>
      <c r="L179" s="11"/>
      <c r="M179" s="12"/>
      <c r="N179" s="13" t="str">
        <f aca="true">IF(OR(M179="",AND(K179&lt;&gt;"上市",K179&lt;&gt;"筛选")),"",TODAY()-M179)</f>
        <v/>
      </c>
      <c r="O179" s="14" t="str">
        <f aca="false">IF(N179="","",IF(N179&lt;=7,M179+7,IF(N179&lt;=14,M179+14,IF(N179&lt;=21,M179+21,"已超过21天"))))</f>
        <v/>
      </c>
      <c r="P179" s="10"/>
      <c r="Q179" s="12"/>
      <c r="R179" s="12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1"/>
      <c r="J180" s="10"/>
      <c r="K180" s="10"/>
      <c r="L180" s="11"/>
      <c r="M180" s="12"/>
      <c r="N180" s="13" t="str">
        <f aca="true">IF(OR(M180="",AND(K180&lt;&gt;"上市",K180&lt;&gt;"筛选")),"",TODAY()-M180)</f>
        <v/>
      </c>
      <c r="O180" s="14" t="str">
        <f aca="false">IF(N180="","",IF(N180&lt;=7,M180+7,IF(N180&lt;=14,M180+14,IF(N180&lt;=21,M180+21,"已超过21天"))))</f>
        <v/>
      </c>
      <c r="P180" s="10"/>
      <c r="Q180" s="12"/>
      <c r="R180" s="12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1"/>
      <c r="J181" s="10"/>
      <c r="K181" s="10"/>
      <c r="L181" s="11"/>
      <c r="M181" s="12"/>
      <c r="N181" s="13" t="str">
        <f aca="true">IF(OR(M181="",AND(K181&lt;&gt;"上市",K181&lt;&gt;"筛选")),"",TODAY()-M181)</f>
        <v/>
      </c>
      <c r="O181" s="14" t="str">
        <f aca="false">IF(N181="","",IF(N181&lt;=7,M181+7,IF(N181&lt;=14,M181+14,IF(N181&lt;=21,M181+21,"已超过21天"))))</f>
        <v/>
      </c>
      <c r="P181" s="10"/>
      <c r="Q181" s="12"/>
      <c r="R181" s="12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1"/>
      <c r="J182" s="10"/>
      <c r="K182" s="10"/>
      <c r="L182" s="11"/>
      <c r="M182" s="12"/>
      <c r="N182" s="13" t="str">
        <f aca="true">IF(OR(M182="",AND(K182&lt;&gt;"上市",K182&lt;&gt;"筛选")),"",TODAY()-M182)</f>
        <v/>
      </c>
      <c r="O182" s="14" t="str">
        <f aca="false">IF(N182="","",IF(N182&lt;=7,M182+7,IF(N182&lt;=14,M182+14,IF(N182&lt;=21,M182+21,"已超过21天"))))</f>
        <v/>
      </c>
      <c r="P182" s="10"/>
      <c r="Q182" s="12"/>
      <c r="R182" s="12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1"/>
      <c r="J183" s="10"/>
      <c r="K183" s="10"/>
      <c r="L183" s="11"/>
      <c r="M183" s="12"/>
      <c r="N183" s="13" t="str">
        <f aca="true">IF(OR(M183="",AND(K183&lt;&gt;"上市",K183&lt;&gt;"筛选")),"",TODAY()-M183)</f>
        <v/>
      </c>
      <c r="O183" s="14" t="str">
        <f aca="false">IF(N183="","",IF(N183&lt;=7,M183+7,IF(N183&lt;=14,M183+14,IF(N183&lt;=21,M183+21,"已超过21天"))))</f>
        <v/>
      </c>
      <c r="P183" s="10"/>
      <c r="Q183" s="12"/>
      <c r="R183" s="12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1"/>
      <c r="J184" s="10"/>
      <c r="K184" s="10"/>
      <c r="L184" s="11"/>
      <c r="M184" s="12"/>
      <c r="N184" s="13" t="str">
        <f aca="true">IF(OR(M184="",AND(K184&lt;&gt;"上市",K184&lt;&gt;"筛选")),"",TODAY()-M184)</f>
        <v/>
      </c>
      <c r="O184" s="14" t="str">
        <f aca="false">IF(N184="","",IF(N184&lt;=7,M184+7,IF(N184&lt;=14,M184+14,IF(N184&lt;=21,M184+21,"已超过21天"))))</f>
        <v/>
      </c>
      <c r="P184" s="10"/>
      <c r="Q184" s="12"/>
      <c r="R184" s="12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1"/>
      <c r="J185" s="10"/>
      <c r="K185" s="10"/>
      <c r="L185" s="11"/>
      <c r="M185" s="12"/>
      <c r="N185" s="13" t="str">
        <f aca="true">IF(OR(M185="",AND(K185&lt;&gt;"上市",K185&lt;&gt;"筛选")),"",TODAY()-M185)</f>
        <v/>
      </c>
      <c r="O185" s="14" t="str">
        <f aca="false">IF(N185="","",IF(N185&lt;=7,M185+7,IF(N185&lt;=14,M185+14,IF(N185&lt;=21,M185+21,"已超过21天"))))</f>
        <v/>
      </c>
      <c r="P185" s="10"/>
      <c r="Q185" s="12"/>
      <c r="R185" s="12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1"/>
      <c r="J186" s="10"/>
      <c r="K186" s="10"/>
      <c r="L186" s="11"/>
      <c r="M186" s="12"/>
      <c r="N186" s="13" t="str">
        <f aca="true">IF(OR(M186="",AND(K186&lt;&gt;"上市",K186&lt;&gt;"筛选")),"",TODAY()-M186)</f>
        <v/>
      </c>
      <c r="O186" s="14" t="str">
        <f aca="false">IF(N186="","",IF(N186&lt;=7,M186+7,IF(N186&lt;=14,M186+14,IF(N186&lt;=21,M186+21,"已超过21天"))))</f>
        <v/>
      </c>
      <c r="P186" s="10"/>
      <c r="Q186" s="12"/>
      <c r="R186" s="12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1"/>
      <c r="J187" s="10"/>
      <c r="K187" s="10"/>
      <c r="L187" s="11"/>
      <c r="M187" s="12"/>
      <c r="N187" s="13" t="str">
        <f aca="true">IF(OR(M187="",AND(K187&lt;&gt;"上市",K187&lt;&gt;"筛选")),"",TODAY()-M187)</f>
        <v/>
      </c>
      <c r="O187" s="14" t="str">
        <f aca="false">IF(N187="","",IF(N187&lt;=7,M187+7,IF(N187&lt;=14,M187+14,IF(N187&lt;=21,M187+21,"已超过21天"))))</f>
        <v/>
      </c>
      <c r="P187" s="10"/>
      <c r="Q187" s="12"/>
      <c r="R187" s="12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1"/>
      <c r="J188" s="10"/>
      <c r="K188" s="10"/>
      <c r="L188" s="11"/>
      <c r="M188" s="12"/>
      <c r="N188" s="13" t="str">
        <f aca="true">IF(OR(M188="",AND(K188&lt;&gt;"上市",K188&lt;&gt;"筛选")),"",TODAY()-M188)</f>
        <v/>
      </c>
      <c r="O188" s="14" t="str">
        <f aca="false">IF(N188="","",IF(N188&lt;=7,M188+7,IF(N188&lt;=14,M188+14,IF(N188&lt;=21,M188+21,"已超过21天"))))</f>
        <v/>
      </c>
      <c r="P188" s="10"/>
      <c r="Q188" s="12"/>
      <c r="R188" s="12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1"/>
      <c r="J189" s="10"/>
      <c r="K189" s="10"/>
      <c r="L189" s="11"/>
      <c r="M189" s="12"/>
      <c r="N189" s="13" t="str">
        <f aca="true">IF(OR(M189="",AND(K189&lt;&gt;"上市",K189&lt;&gt;"筛选")),"",TODAY()-M189)</f>
        <v/>
      </c>
      <c r="O189" s="14" t="str">
        <f aca="false">IF(N189="","",IF(N189&lt;=7,M189+7,IF(N189&lt;=14,M189+14,IF(N189&lt;=21,M189+21,"已超过21天"))))</f>
        <v/>
      </c>
      <c r="P189" s="10"/>
      <c r="Q189" s="12"/>
      <c r="R189" s="12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1"/>
      <c r="J190" s="10"/>
      <c r="K190" s="10"/>
      <c r="L190" s="11"/>
      <c r="M190" s="12"/>
      <c r="N190" s="13" t="str">
        <f aca="true">IF(OR(M190="",AND(K190&lt;&gt;"上市",K190&lt;&gt;"筛选")),"",TODAY()-M190)</f>
        <v/>
      </c>
      <c r="O190" s="14" t="str">
        <f aca="false">IF(N190="","",IF(N190&lt;=7,M190+7,IF(N190&lt;=14,M190+14,IF(N190&lt;=21,M190+21,"已超过21天"))))</f>
        <v/>
      </c>
      <c r="P190" s="10"/>
      <c r="Q190" s="12"/>
      <c r="R190" s="12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1"/>
      <c r="J191" s="10"/>
      <c r="K191" s="10"/>
      <c r="L191" s="11"/>
      <c r="M191" s="12"/>
      <c r="N191" s="13" t="str">
        <f aca="true">IF(OR(M191="",AND(K191&lt;&gt;"上市",K191&lt;&gt;"筛选")),"",TODAY()-M191)</f>
        <v/>
      </c>
      <c r="O191" s="14" t="str">
        <f aca="false">IF(N191="","",IF(N191&lt;=7,M191+7,IF(N191&lt;=14,M191+14,IF(N191&lt;=21,M191+21,"已超过21天"))))</f>
        <v/>
      </c>
      <c r="P191" s="10"/>
      <c r="Q191" s="12"/>
      <c r="R191" s="12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1"/>
      <c r="J192" s="10"/>
      <c r="K192" s="10"/>
      <c r="L192" s="11"/>
      <c r="M192" s="12"/>
      <c r="N192" s="13" t="str">
        <f aca="true">IF(OR(M192="",AND(K192&lt;&gt;"上市",K192&lt;&gt;"筛选")),"",TODAY()-M192)</f>
        <v/>
      </c>
      <c r="O192" s="14" t="str">
        <f aca="false">IF(N192="","",IF(N192&lt;=7,M192+7,IF(N192&lt;=14,M192+14,IF(N192&lt;=21,M192+21,"已超过21天"))))</f>
        <v/>
      </c>
      <c r="P192" s="10"/>
      <c r="Q192" s="12"/>
      <c r="R192" s="12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1"/>
      <c r="J193" s="10"/>
      <c r="K193" s="10"/>
      <c r="L193" s="11"/>
      <c r="M193" s="12"/>
      <c r="N193" s="13" t="str">
        <f aca="true">IF(OR(M193="",AND(K193&lt;&gt;"上市",K193&lt;&gt;"筛选")),"",TODAY()-M193)</f>
        <v/>
      </c>
      <c r="O193" s="14" t="str">
        <f aca="false">IF(N193="","",IF(N193&lt;=7,M193+7,IF(N193&lt;=14,M193+14,IF(N193&lt;=21,M193+21,"已超过21天"))))</f>
        <v/>
      </c>
      <c r="P193" s="10"/>
      <c r="Q193" s="12"/>
      <c r="R193" s="12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1"/>
      <c r="J194" s="10"/>
      <c r="K194" s="10"/>
      <c r="L194" s="11"/>
      <c r="M194" s="12"/>
      <c r="N194" s="13" t="str">
        <f aca="true">IF(OR(M194="",AND(K194&lt;&gt;"上市",K194&lt;&gt;"筛选")),"",TODAY()-M194)</f>
        <v/>
      </c>
      <c r="O194" s="14" t="str">
        <f aca="false">IF(N194="","",IF(N194&lt;=7,M194+7,IF(N194&lt;=14,M194+14,IF(N194&lt;=21,M194+21,"已超过21天"))))</f>
        <v/>
      </c>
      <c r="P194" s="10"/>
      <c r="Q194" s="12"/>
      <c r="R194" s="12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1"/>
      <c r="J195" s="10"/>
      <c r="K195" s="10"/>
      <c r="L195" s="11"/>
      <c r="M195" s="12"/>
      <c r="N195" s="13" t="str">
        <f aca="true">IF(OR(M195="",AND(K195&lt;&gt;"上市",K195&lt;&gt;"筛选")),"",TODAY()-M195)</f>
        <v/>
      </c>
      <c r="O195" s="14" t="str">
        <f aca="false">IF(N195="","",IF(N195&lt;=7,M195+7,IF(N195&lt;=14,M195+14,IF(N195&lt;=21,M195+21,"已超过21天"))))</f>
        <v/>
      </c>
      <c r="P195" s="10"/>
      <c r="Q195" s="12"/>
      <c r="R195" s="12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1"/>
      <c r="J196" s="10"/>
      <c r="K196" s="10"/>
      <c r="L196" s="11"/>
      <c r="M196" s="12"/>
      <c r="N196" s="13" t="str">
        <f aca="true">IF(OR(M196="",AND(K196&lt;&gt;"上市",K196&lt;&gt;"筛选")),"",TODAY()-M196)</f>
        <v/>
      </c>
      <c r="O196" s="14" t="str">
        <f aca="false">IF(N196="","",IF(N196&lt;=7,M196+7,IF(N196&lt;=14,M196+14,IF(N196&lt;=21,M196+21,"已超过21天"))))</f>
        <v/>
      </c>
      <c r="P196" s="10"/>
      <c r="Q196" s="12"/>
      <c r="R196" s="12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1"/>
      <c r="J197" s="10"/>
      <c r="K197" s="10"/>
      <c r="L197" s="11"/>
      <c r="M197" s="12"/>
      <c r="N197" s="13" t="str">
        <f aca="true">IF(OR(M197="",AND(K197&lt;&gt;"上市",K197&lt;&gt;"筛选")),"",TODAY()-M197)</f>
        <v/>
      </c>
      <c r="O197" s="14" t="str">
        <f aca="false">IF(N197="","",IF(N197&lt;=7,M197+7,IF(N197&lt;=14,M197+14,IF(N197&lt;=21,M197+21,"已超过21天"))))</f>
        <v/>
      </c>
      <c r="P197" s="10"/>
      <c r="Q197" s="12"/>
      <c r="R197" s="12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1"/>
      <c r="J198" s="10"/>
      <c r="K198" s="10"/>
      <c r="L198" s="11"/>
      <c r="M198" s="12"/>
      <c r="N198" s="13" t="str">
        <f aca="true">IF(OR(M198="",AND(K198&lt;&gt;"上市",K198&lt;&gt;"筛选")),"",TODAY()-M198)</f>
        <v/>
      </c>
      <c r="O198" s="14" t="str">
        <f aca="false">IF(N198="","",IF(N198&lt;=7,M198+7,IF(N198&lt;=14,M198+14,IF(N198&lt;=21,M198+21,"已超过21天"))))</f>
        <v/>
      </c>
      <c r="P198" s="10"/>
      <c r="Q198" s="12"/>
      <c r="R198" s="12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1"/>
      <c r="J199" s="10"/>
      <c r="K199" s="10"/>
      <c r="L199" s="11"/>
      <c r="M199" s="12"/>
      <c r="N199" s="13" t="str">
        <f aca="true">IF(OR(M199="",AND(K199&lt;&gt;"上市",K199&lt;&gt;"筛选")),"",TODAY()-M199)</f>
        <v/>
      </c>
      <c r="O199" s="14" t="str">
        <f aca="false">IF(N199="","",IF(N199&lt;=7,M199+7,IF(N199&lt;=14,M199+14,IF(N199&lt;=21,M199+21,"已超过21天"))))</f>
        <v/>
      </c>
      <c r="P199" s="10"/>
      <c r="Q199" s="12"/>
      <c r="R199" s="12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1"/>
      <c r="J200" s="10"/>
      <c r="K200" s="10"/>
      <c r="L200" s="11"/>
      <c r="M200" s="12"/>
      <c r="N200" s="13" t="str">
        <f aca="true">IF(OR(M200="",AND(K200&lt;&gt;"上市",K200&lt;&gt;"筛选")),"",TODAY()-M200)</f>
        <v/>
      </c>
      <c r="O200" s="14" t="str">
        <f aca="false">IF(N200="","",IF(N200&lt;=7,M200+7,IF(N200&lt;=14,M200+14,IF(N200&lt;=21,M200+21,"已超过21天"))))</f>
        <v/>
      </c>
      <c r="P200" s="10"/>
      <c r="Q200" s="12"/>
      <c r="R200" s="12"/>
    </row>
  </sheetData>
  <autoFilter ref="A1:R200"/>
  <dataValidations count="6">
    <dataValidation allowBlank="true" errorStyle="stop" operator="between" showDropDown="false" showErrorMessage="false" showInputMessage="false" sqref="D2:D200" type="list">
      <formula1>"独立屋,公寓(condo),联排,duplex,小型多户,ADU,其他"</formula1>
      <formula2>0</formula2>
    </dataValidation>
    <dataValidation allowBlank="true" errorStyle="stop" operator="between" showDropDown="false" showErrorMessage="false" showInputMessage="false" sqref="F2:F200" type="list">
      <formula1>"只招租,全托管"</formula1>
      <formula2>0</formula2>
    </dataValidation>
    <dataValidation allowBlank="true" errorStyle="stop" operator="between" showDropDown="false" showErrorMessage="false" showInputMessage="false" sqref="G2:G200" type="list">
      <formula1>"A,B,未知"</formula1>
      <formula2>0</formula2>
    </dataValidation>
    <dataValidation allowBlank="true" errorStyle="stop" operator="between" showDropDown="false" showErrorMessage="false" showInputMessage="false" sqref="H2:H200" type="list">
      <formula1>"业主直付,信托,C租客垫付,未知"</formula1>
      <formula2>0</formula2>
    </dataValidation>
    <dataValidation allowBlank="true" errorStyle="stop" operator="between" showDropDown="false" showErrorMessage="false" showInputMessage="false" sqref="J2:J200" type="list">
      <formula1>"M01,M02,M03,M04,M05,M06,M07,M08,M09,M10,M11,M12,M13,M14,M15,M16,M17"</formula1>
      <formula2>0</formula2>
    </dataValidation>
    <dataValidation allowBlank="true" errorStyle="stop" operator="between" showDropDown="false" showErrorMessage="false" showInputMessage="false" sqref="K2:K200" type="list">
      <formula1>"评估中,签约中,接房,修缮,上市,筛选,签租约,已入住,在管,续约中,退租中,已结束"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36" hidden="false" customHeight="true" outlineLevel="0" collapsed="false">
      <c r="A1" s="8" t="s">
        <v>46</v>
      </c>
      <c r="B1" s="8" t="s">
        <v>64</v>
      </c>
      <c r="C1" s="8" t="s">
        <v>65</v>
      </c>
      <c r="D1" s="8" t="s">
        <v>66</v>
      </c>
      <c r="E1" s="8" t="s">
        <v>67</v>
      </c>
      <c r="F1" s="8" t="s">
        <v>68</v>
      </c>
      <c r="G1" s="8" t="s">
        <v>69</v>
      </c>
      <c r="H1" s="8" t="s">
        <v>70</v>
      </c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0"/>
      <c r="H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</row>
  </sheetData>
  <autoFilter ref="A1:H200"/>
  <dataValidations count="2">
    <dataValidation allowBlank="true" errorStyle="stop" operator="between" showDropDown="false" showErrorMessage="false" showInputMessage="false" sqref="B2:B200" type="list">
      <formula1>"业主,租客,紧急联系人,业主代理人,HOA"</formula1>
      <formula2>0</formula2>
    </dataValidation>
    <dataValidation allowBlank="true" errorStyle="stop" operator="between" showDropDown="false" showErrorMessage="false" showInputMessage="false" sqref="G2:G200" type="list">
      <formula1>"中文,英文,中英,未知"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2"/>
    <col collapsed="false" customWidth="true" hidden="false" outlineLevel="0" max="8" min="8" style="0" width="16"/>
    <col collapsed="false" customWidth="true" hidden="false" outlineLevel="0" max="11" min="9" style="0" width="12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9" min="15" style="0" width="12"/>
    <col collapsed="false" customWidth="true" hidden="false" outlineLevel="0" max="20" min="20" style="0" width="14"/>
    <col collapsed="false" customWidth="true" hidden="false" outlineLevel="0" max="21" min="21" style="0" width="22"/>
    <col collapsed="false" customWidth="true" hidden="false" outlineLevel="0" max="22" min="22" style="0" width="12"/>
    <col collapsed="false" customWidth="true" hidden="false" outlineLevel="0" max="25" min="23" style="0" width="14"/>
    <col collapsed="false" customWidth="true" hidden="false" outlineLevel="0" max="26" min="26" style="0" width="12"/>
    <col collapsed="false" customWidth="true" hidden="false" outlineLevel="0" max="27" min="27" style="0" width="16"/>
  </cols>
  <sheetData>
    <row r="1" customFormat="false" ht="36" hidden="false" customHeight="true" outlineLevel="0" collapsed="false">
      <c r="A1" s="8" t="s">
        <v>46</v>
      </c>
      <c r="B1" s="8" t="s">
        <v>71</v>
      </c>
      <c r="C1" s="8" t="s">
        <v>72</v>
      </c>
      <c r="D1" s="8" t="s">
        <v>73</v>
      </c>
      <c r="E1" s="8" t="s">
        <v>49</v>
      </c>
      <c r="F1" s="8" t="s">
        <v>57</v>
      </c>
      <c r="G1" s="8" t="s">
        <v>74</v>
      </c>
      <c r="H1" s="8" t="s">
        <v>75</v>
      </c>
      <c r="I1" s="8" t="s">
        <v>76</v>
      </c>
      <c r="J1" s="8" t="s">
        <v>77</v>
      </c>
      <c r="K1" s="8" t="s">
        <v>78</v>
      </c>
      <c r="L1" s="15" t="s">
        <v>79</v>
      </c>
      <c r="M1" s="8" t="s">
        <v>80</v>
      </c>
      <c r="N1" s="8" t="s">
        <v>81</v>
      </c>
      <c r="O1" s="8" t="s">
        <v>82</v>
      </c>
      <c r="P1" s="8" t="s">
        <v>83</v>
      </c>
      <c r="Q1" s="8" t="s">
        <v>84</v>
      </c>
      <c r="R1" s="8" t="s">
        <v>85</v>
      </c>
      <c r="S1" s="8" t="s">
        <v>86</v>
      </c>
      <c r="T1" s="8" t="s">
        <v>87</v>
      </c>
      <c r="U1" s="8" t="s">
        <v>88</v>
      </c>
      <c r="V1" s="8" t="s">
        <v>89</v>
      </c>
      <c r="W1" s="9" t="s">
        <v>90</v>
      </c>
      <c r="X1" s="9" t="s">
        <v>91</v>
      </c>
      <c r="Y1" s="9" t="s">
        <v>92</v>
      </c>
      <c r="Z1" s="8" t="s">
        <v>93</v>
      </c>
      <c r="AA1" s="9" t="s">
        <v>94</v>
      </c>
    </row>
    <row r="2" customFormat="false" ht="15" hidden="false" customHeight="false" outlineLevel="0" collapsed="false">
      <c r="A2" s="10"/>
      <c r="B2" s="10"/>
      <c r="C2" s="12"/>
      <c r="D2" s="12"/>
      <c r="E2" s="10"/>
      <c r="F2" s="11"/>
      <c r="G2" s="10"/>
      <c r="H2" s="10"/>
      <c r="I2" s="11"/>
      <c r="J2" s="11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4" t="str">
        <f aca="false">IF(D2="","",D2-使用说明!$B$20)</f>
        <v/>
      </c>
      <c r="X2" s="14" t="str">
        <f aca="false">IF(D2="","",D2-使用说明!$B$21)</f>
        <v/>
      </c>
      <c r="Y2" s="14" t="str">
        <f aca="false">IF(D2="","",D2-使用说明!$B$22)</f>
        <v/>
      </c>
      <c r="Z2" s="12"/>
      <c r="AA2" s="14" t="str">
        <f aca="false">IF(Z2="","",Z2+21)</f>
        <v/>
      </c>
    </row>
    <row r="3" customFormat="false" ht="15" hidden="false" customHeight="false" outlineLevel="0" collapsed="false">
      <c r="A3" s="10"/>
      <c r="B3" s="10"/>
      <c r="C3" s="12"/>
      <c r="D3" s="12"/>
      <c r="E3" s="10"/>
      <c r="F3" s="11"/>
      <c r="G3" s="10"/>
      <c r="H3" s="10"/>
      <c r="I3" s="11"/>
      <c r="J3" s="11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4" t="str">
        <f aca="false">IF(D3="","",D3-使用说明!$B$20)</f>
        <v/>
      </c>
      <c r="X3" s="14" t="str">
        <f aca="false">IF(D3="","",D3-使用说明!$B$21)</f>
        <v/>
      </c>
      <c r="Y3" s="14" t="str">
        <f aca="false">IF(D3="","",D3-使用说明!$B$22)</f>
        <v/>
      </c>
      <c r="Z3" s="12"/>
      <c r="AA3" s="14" t="str">
        <f aca="false">IF(Z3="","",Z3+21)</f>
        <v/>
      </c>
    </row>
    <row r="4" customFormat="false" ht="15" hidden="false" customHeight="false" outlineLevel="0" collapsed="false">
      <c r="A4" s="10"/>
      <c r="B4" s="10"/>
      <c r="C4" s="12"/>
      <c r="D4" s="12"/>
      <c r="E4" s="10"/>
      <c r="F4" s="11"/>
      <c r="G4" s="10"/>
      <c r="H4" s="10"/>
      <c r="I4" s="11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  <c r="W4" s="14" t="str">
        <f aca="false">IF(D4="","",D4-使用说明!$B$20)</f>
        <v/>
      </c>
      <c r="X4" s="14" t="str">
        <f aca="false">IF(D4="","",D4-使用说明!$B$21)</f>
        <v/>
      </c>
      <c r="Y4" s="14" t="str">
        <f aca="false">IF(D4="","",D4-使用说明!$B$22)</f>
        <v/>
      </c>
      <c r="Z4" s="12"/>
      <c r="AA4" s="14" t="str">
        <f aca="false">IF(Z4="","",Z4+21)</f>
        <v/>
      </c>
    </row>
    <row r="5" customFormat="false" ht="15" hidden="false" customHeight="false" outlineLevel="0" collapsed="false">
      <c r="A5" s="10"/>
      <c r="B5" s="10"/>
      <c r="C5" s="12"/>
      <c r="D5" s="12"/>
      <c r="E5" s="10"/>
      <c r="F5" s="11"/>
      <c r="G5" s="10"/>
      <c r="H5" s="10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  <c r="W5" s="14" t="str">
        <f aca="false">IF(D5="","",D5-使用说明!$B$20)</f>
        <v/>
      </c>
      <c r="X5" s="14" t="str">
        <f aca="false">IF(D5="","",D5-使用说明!$B$21)</f>
        <v/>
      </c>
      <c r="Y5" s="14" t="str">
        <f aca="false">IF(D5="","",D5-使用说明!$B$22)</f>
        <v/>
      </c>
      <c r="Z5" s="12"/>
      <c r="AA5" s="14" t="str">
        <f aca="false">IF(Z5="","",Z5+21)</f>
        <v/>
      </c>
    </row>
    <row r="6" customFormat="false" ht="15" hidden="false" customHeight="false" outlineLevel="0" collapsed="false">
      <c r="A6" s="10"/>
      <c r="B6" s="10"/>
      <c r="C6" s="12"/>
      <c r="D6" s="12"/>
      <c r="E6" s="10"/>
      <c r="F6" s="11"/>
      <c r="G6" s="10"/>
      <c r="H6" s="10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  <c r="W6" s="14" t="str">
        <f aca="false">IF(D6="","",D6-使用说明!$B$20)</f>
        <v/>
      </c>
      <c r="X6" s="14" t="str">
        <f aca="false">IF(D6="","",D6-使用说明!$B$21)</f>
        <v/>
      </c>
      <c r="Y6" s="14" t="str">
        <f aca="false">IF(D6="","",D6-使用说明!$B$22)</f>
        <v/>
      </c>
      <c r="Z6" s="12"/>
      <c r="AA6" s="14" t="str">
        <f aca="false">IF(Z6="","",Z6+21)</f>
        <v/>
      </c>
    </row>
    <row r="7" customFormat="false" ht="15" hidden="false" customHeight="false" outlineLevel="0" collapsed="false">
      <c r="A7" s="10"/>
      <c r="B7" s="10"/>
      <c r="C7" s="12"/>
      <c r="D7" s="12"/>
      <c r="E7" s="10"/>
      <c r="F7" s="11"/>
      <c r="G7" s="10"/>
      <c r="H7" s="10"/>
      <c r="I7" s="11"/>
      <c r="J7" s="1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  <c r="W7" s="14" t="str">
        <f aca="false">IF(D7="","",D7-使用说明!$B$20)</f>
        <v/>
      </c>
      <c r="X7" s="14" t="str">
        <f aca="false">IF(D7="","",D7-使用说明!$B$21)</f>
        <v/>
      </c>
      <c r="Y7" s="14" t="str">
        <f aca="false">IF(D7="","",D7-使用说明!$B$22)</f>
        <v/>
      </c>
      <c r="Z7" s="12"/>
      <c r="AA7" s="14" t="str">
        <f aca="false">IF(Z7="","",Z7+21)</f>
        <v/>
      </c>
    </row>
    <row r="8" customFormat="false" ht="15" hidden="false" customHeight="false" outlineLevel="0" collapsed="false">
      <c r="A8" s="10"/>
      <c r="B8" s="10"/>
      <c r="C8" s="12"/>
      <c r="D8" s="12"/>
      <c r="E8" s="10"/>
      <c r="F8" s="11"/>
      <c r="G8" s="10"/>
      <c r="H8" s="10"/>
      <c r="I8" s="11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  <c r="W8" s="14" t="str">
        <f aca="false">IF(D8="","",D8-使用说明!$B$20)</f>
        <v/>
      </c>
      <c r="X8" s="14" t="str">
        <f aca="false">IF(D8="","",D8-使用说明!$B$21)</f>
        <v/>
      </c>
      <c r="Y8" s="14" t="str">
        <f aca="false">IF(D8="","",D8-使用说明!$B$22)</f>
        <v/>
      </c>
      <c r="Z8" s="12"/>
      <c r="AA8" s="14" t="str">
        <f aca="false">IF(Z8="","",Z8+21)</f>
        <v/>
      </c>
    </row>
    <row r="9" customFormat="false" ht="15" hidden="false" customHeight="false" outlineLevel="0" collapsed="false">
      <c r="A9" s="10"/>
      <c r="B9" s="10"/>
      <c r="C9" s="12"/>
      <c r="D9" s="12"/>
      <c r="E9" s="10"/>
      <c r="F9" s="11"/>
      <c r="G9" s="10"/>
      <c r="H9" s="10"/>
      <c r="I9" s="11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  <c r="W9" s="14" t="str">
        <f aca="false">IF(D9="","",D9-使用说明!$B$20)</f>
        <v/>
      </c>
      <c r="X9" s="14" t="str">
        <f aca="false">IF(D9="","",D9-使用说明!$B$21)</f>
        <v/>
      </c>
      <c r="Y9" s="14" t="str">
        <f aca="false">IF(D9="","",D9-使用说明!$B$22)</f>
        <v/>
      </c>
      <c r="Z9" s="12"/>
      <c r="AA9" s="14" t="str">
        <f aca="false">IF(Z9="","",Z9+21)</f>
        <v/>
      </c>
    </row>
    <row r="10" customFormat="false" ht="15" hidden="false" customHeight="false" outlineLevel="0" collapsed="false">
      <c r="A10" s="10"/>
      <c r="B10" s="10"/>
      <c r="C10" s="12"/>
      <c r="D10" s="12"/>
      <c r="E10" s="10"/>
      <c r="F10" s="11"/>
      <c r="G10" s="10"/>
      <c r="H10" s="10"/>
      <c r="I10" s="11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  <c r="W10" s="14" t="str">
        <f aca="false">IF(D10="","",D10-使用说明!$B$20)</f>
        <v/>
      </c>
      <c r="X10" s="14" t="str">
        <f aca="false">IF(D10="","",D10-使用说明!$B$21)</f>
        <v/>
      </c>
      <c r="Y10" s="14" t="str">
        <f aca="false">IF(D10="","",D10-使用说明!$B$22)</f>
        <v/>
      </c>
      <c r="Z10" s="12"/>
      <c r="AA10" s="14" t="str">
        <f aca="false">IF(Z10="","",Z10+21)</f>
        <v/>
      </c>
    </row>
    <row r="11" customFormat="false" ht="15" hidden="false" customHeight="false" outlineLevel="0" collapsed="false">
      <c r="A11" s="10"/>
      <c r="B11" s="10"/>
      <c r="C11" s="12"/>
      <c r="D11" s="12"/>
      <c r="E11" s="10"/>
      <c r="F11" s="11"/>
      <c r="G11" s="10"/>
      <c r="H11" s="10"/>
      <c r="I11" s="11"/>
      <c r="J11" s="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  <c r="W11" s="14" t="str">
        <f aca="false">IF(D11="","",D11-使用说明!$B$20)</f>
        <v/>
      </c>
      <c r="X11" s="14" t="str">
        <f aca="false">IF(D11="","",D11-使用说明!$B$21)</f>
        <v/>
      </c>
      <c r="Y11" s="14" t="str">
        <f aca="false">IF(D11="","",D11-使用说明!$B$22)</f>
        <v/>
      </c>
      <c r="Z11" s="12"/>
      <c r="AA11" s="14" t="str">
        <f aca="false">IF(Z11="","",Z11+21)</f>
        <v/>
      </c>
    </row>
    <row r="12" customFormat="false" ht="15" hidden="false" customHeight="false" outlineLevel="0" collapsed="false">
      <c r="A12" s="10"/>
      <c r="B12" s="10"/>
      <c r="C12" s="12"/>
      <c r="D12" s="12"/>
      <c r="E12" s="10"/>
      <c r="F12" s="11"/>
      <c r="G12" s="10"/>
      <c r="H12" s="10"/>
      <c r="I12" s="11"/>
      <c r="J12" s="1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  <c r="W12" s="14" t="str">
        <f aca="false">IF(D12="","",D12-使用说明!$B$20)</f>
        <v/>
      </c>
      <c r="X12" s="14" t="str">
        <f aca="false">IF(D12="","",D12-使用说明!$B$21)</f>
        <v/>
      </c>
      <c r="Y12" s="14" t="str">
        <f aca="false">IF(D12="","",D12-使用说明!$B$22)</f>
        <v/>
      </c>
      <c r="Z12" s="12"/>
      <c r="AA12" s="14" t="str">
        <f aca="false">IF(Z12="","",Z12+21)</f>
        <v/>
      </c>
    </row>
    <row r="13" customFormat="false" ht="15" hidden="false" customHeight="false" outlineLevel="0" collapsed="false">
      <c r="A13" s="10"/>
      <c r="B13" s="10"/>
      <c r="C13" s="12"/>
      <c r="D13" s="12"/>
      <c r="E13" s="10"/>
      <c r="F13" s="11"/>
      <c r="G13" s="10"/>
      <c r="H13" s="10"/>
      <c r="I13" s="11"/>
      <c r="J13" s="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  <c r="W13" s="14" t="str">
        <f aca="false">IF(D13="","",D13-使用说明!$B$20)</f>
        <v/>
      </c>
      <c r="X13" s="14" t="str">
        <f aca="false">IF(D13="","",D13-使用说明!$B$21)</f>
        <v/>
      </c>
      <c r="Y13" s="14" t="str">
        <f aca="false">IF(D13="","",D13-使用说明!$B$22)</f>
        <v/>
      </c>
      <c r="Z13" s="12"/>
      <c r="AA13" s="14" t="str">
        <f aca="false">IF(Z13="","",Z13+21)</f>
        <v/>
      </c>
    </row>
    <row r="14" customFormat="false" ht="15" hidden="false" customHeight="false" outlineLevel="0" collapsed="false">
      <c r="A14" s="10"/>
      <c r="B14" s="10"/>
      <c r="C14" s="12"/>
      <c r="D14" s="12"/>
      <c r="E14" s="10"/>
      <c r="F14" s="11"/>
      <c r="G14" s="10"/>
      <c r="H14" s="10"/>
      <c r="I14" s="11"/>
      <c r="J14" s="11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  <c r="W14" s="14" t="str">
        <f aca="false">IF(D14="","",D14-使用说明!$B$20)</f>
        <v/>
      </c>
      <c r="X14" s="14" t="str">
        <f aca="false">IF(D14="","",D14-使用说明!$B$21)</f>
        <v/>
      </c>
      <c r="Y14" s="14" t="str">
        <f aca="false">IF(D14="","",D14-使用说明!$B$22)</f>
        <v/>
      </c>
      <c r="Z14" s="12"/>
      <c r="AA14" s="14" t="str">
        <f aca="false">IF(Z14="","",Z14+21)</f>
        <v/>
      </c>
    </row>
    <row r="15" customFormat="false" ht="15" hidden="false" customHeight="false" outlineLevel="0" collapsed="false">
      <c r="A15" s="10"/>
      <c r="B15" s="10"/>
      <c r="C15" s="12"/>
      <c r="D15" s="12"/>
      <c r="E15" s="10"/>
      <c r="F15" s="11"/>
      <c r="G15" s="10"/>
      <c r="H15" s="10"/>
      <c r="I15" s="11"/>
      <c r="J15" s="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  <c r="W15" s="14" t="str">
        <f aca="false">IF(D15="","",D15-使用说明!$B$20)</f>
        <v/>
      </c>
      <c r="X15" s="14" t="str">
        <f aca="false">IF(D15="","",D15-使用说明!$B$21)</f>
        <v/>
      </c>
      <c r="Y15" s="14" t="str">
        <f aca="false">IF(D15="","",D15-使用说明!$B$22)</f>
        <v/>
      </c>
      <c r="Z15" s="12"/>
      <c r="AA15" s="14" t="str">
        <f aca="false">IF(Z15="","",Z15+21)</f>
        <v/>
      </c>
    </row>
    <row r="16" customFormat="false" ht="15" hidden="false" customHeight="false" outlineLevel="0" collapsed="false">
      <c r="A16" s="10"/>
      <c r="B16" s="10"/>
      <c r="C16" s="12"/>
      <c r="D16" s="12"/>
      <c r="E16" s="10"/>
      <c r="F16" s="11"/>
      <c r="G16" s="10"/>
      <c r="H16" s="10"/>
      <c r="I16" s="11"/>
      <c r="J16" s="11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  <c r="W16" s="14" t="str">
        <f aca="false">IF(D16="","",D16-使用说明!$B$20)</f>
        <v/>
      </c>
      <c r="X16" s="14" t="str">
        <f aca="false">IF(D16="","",D16-使用说明!$B$21)</f>
        <v/>
      </c>
      <c r="Y16" s="14" t="str">
        <f aca="false">IF(D16="","",D16-使用说明!$B$22)</f>
        <v/>
      </c>
      <c r="Z16" s="12"/>
      <c r="AA16" s="14" t="str">
        <f aca="false">IF(Z16="","",Z16+21)</f>
        <v/>
      </c>
    </row>
    <row r="17" customFormat="false" ht="15" hidden="false" customHeight="false" outlineLevel="0" collapsed="false">
      <c r="A17" s="10"/>
      <c r="B17" s="10"/>
      <c r="C17" s="12"/>
      <c r="D17" s="12"/>
      <c r="E17" s="10"/>
      <c r="F17" s="11"/>
      <c r="G17" s="10"/>
      <c r="H17" s="10"/>
      <c r="I17" s="11"/>
      <c r="J17" s="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  <c r="W17" s="14" t="str">
        <f aca="false">IF(D17="","",D17-使用说明!$B$20)</f>
        <v/>
      </c>
      <c r="X17" s="14" t="str">
        <f aca="false">IF(D17="","",D17-使用说明!$B$21)</f>
        <v/>
      </c>
      <c r="Y17" s="14" t="str">
        <f aca="false">IF(D17="","",D17-使用说明!$B$22)</f>
        <v/>
      </c>
      <c r="Z17" s="12"/>
      <c r="AA17" s="14" t="str">
        <f aca="false">IF(Z17="","",Z17+21)</f>
        <v/>
      </c>
    </row>
    <row r="18" customFormat="false" ht="15" hidden="false" customHeight="false" outlineLevel="0" collapsed="false">
      <c r="A18" s="10"/>
      <c r="B18" s="10"/>
      <c r="C18" s="12"/>
      <c r="D18" s="12"/>
      <c r="E18" s="10"/>
      <c r="F18" s="11"/>
      <c r="G18" s="10"/>
      <c r="H18" s="10"/>
      <c r="I18" s="11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  <c r="W18" s="14" t="str">
        <f aca="false">IF(D18="","",D18-使用说明!$B$20)</f>
        <v/>
      </c>
      <c r="X18" s="14" t="str">
        <f aca="false">IF(D18="","",D18-使用说明!$B$21)</f>
        <v/>
      </c>
      <c r="Y18" s="14" t="str">
        <f aca="false">IF(D18="","",D18-使用说明!$B$22)</f>
        <v/>
      </c>
      <c r="Z18" s="12"/>
      <c r="AA18" s="14" t="str">
        <f aca="false">IF(Z18="","",Z18+21)</f>
        <v/>
      </c>
    </row>
    <row r="19" customFormat="false" ht="15" hidden="false" customHeight="false" outlineLevel="0" collapsed="false">
      <c r="A19" s="10"/>
      <c r="B19" s="10"/>
      <c r="C19" s="12"/>
      <c r="D19" s="12"/>
      <c r="E19" s="10"/>
      <c r="F19" s="11"/>
      <c r="G19" s="10"/>
      <c r="H19" s="10"/>
      <c r="I19" s="11"/>
      <c r="J19" s="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  <c r="W19" s="14" t="str">
        <f aca="false">IF(D19="","",D19-使用说明!$B$20)</f>
        <v/>
      </c>
      <c r="X19" s="14" t="str">
        <f aca="false">IF(D19="","",D19-使用说明!$B$21)</f>
        <v/>
      </c>
      <c r="Y19" s="14" t="str">
        <f aca="false">IF(D19="","",D19-使用说明!$B$22)</f>
        <v/>
      </c>
      <c r="Z19" s="12"/>
      <c r="AA19" s="14" t="str">
        <f aca="false">IF(Z19="","",Z19+21)</f>
        <v/>
      </c>
    </row>
    <row r="20" customFormat="false" ht="15" hidden="false" customHeight="false" outlineLevel="0" collapsed="false">
      <c r="A20" s="10"/>
      <c r="B20" s="10"/>
      <c r="C20" s="12"/>
      <c r="D20" s="12"/>
      <c r="E20" s="10"/>
      <c r="F20" s="11"/>
      <c r="G20" s="10"/>
      <c r="H20" s="10"/>
      <c r="I20" s="11"/>
      <c r="J20" s="11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  <c r="W20" s="14" t="str">
        <f aca="false">IF(D20="","",D20-使用说明!$B$20)</f>
        <v/>
      </c>
      <c r="X20" s="14" t="str">
        <f aca="false">IF(D20="","",D20-使用说明!$B$21)</f>
        <v/>
      </c>
      <c r="Y20" s="14" t="str">
        <f aca="false">IF(D20="","",D20-使用说明!$B$22)</f>
        <v/>
      </c>
      <c r="Z20" s="12"/>
      <c r="AA20" s="14" t="str">
        <f aca="false">IF(Z20="","",Z20+21)</f>
        <v/>
      </c>
    </row>
    <row r="21" customFormat="false" ht="15" hidden="false" customHeight="false" outlineLevel="0" collapsed="false">
      <c r="A21" s="10"/>
      <c r="B21" s="10"/>
      <c r="C21" s="12"/>
      <c r="D21" s="12"/>
      <c r="E21" s="10"/>
      <c r="F21" s="11"/>
      <c r="G21" s="10"/>
      <c r="H21" s="10"/>
      <c r="I21" s="11"/>
      <c r="J21" s="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  <c r="W21" s="14" t="str">
        <f aca="false">IF(D21="","",D21-使用说明!$B$20)</f>
        <v/>
      </c>
      <c r="X21" s="14" t="str">
        <f aca="false">IF(D21="","",D21-使用说明!$B$21)</f>
        <v/>
      </c>
      <c r="Y21" s="14" t="str">
        <f aca="false">IF(D21="","",D21-使用说明!$B$22)</f>
        <v/>
      </c>
      <c r="Z21" s="12"/>
      <c r="AA21" s="14" t="str">
        <f aca="false">IF(Z21="","",Z21+21)</f>
        <v/>
      </c>
    </row>
    <row r="22" customFormat="false" ht="15" hidden="false" customHeight="false" outlineLevel="0" collapsed="false">
      <c r="A22" s="10"/>
      <c r="B22" s="10"/>
      <c r="C22" s="12"/>
      <c r="D22" s="12"/>
      <c r="E22" s="10"/>
      <c r="F22" s="11"/>
      <c r="G22" s="10"/>
      <c r="H22" s="10"/>
      <c r="I22" s="11"/>
      <c r="J22" s="11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  <c r="W22" s="14" t="str">
        <f aca="false">IF(D22="","",D22-使用说明!$B$20)</f>
        <v/>
      </c>
      <c r="X22" s="14" t="str">
        <f aca="false">IF(D22="","",D22-使用说明!$B$21)</f>
        <v/>
      </c>
      <c r="Y22" s="14" t="str">
        <f aca="false">IF(D22="","",D22-使用说明!$B$22)</f>
        <v/>
      </c>
      <c r="Z22" s="12"/>
      <c r="AA22" s="14" t="str">
        <f aca="false">IF(Z22="","",Z22+21)</f>
        <v/>
      </c>
    </row>
    <row r="23" customFormat="false" ht="15" hidden="false" customHeight="false" outlineLevel="0" collapsed="false">
      <c r="A23" s="10"/>
      <c r="B23" s="10"/>
      <c r="C23" s="12"/>
      <c r="D23" s="12"/>
      <c r="E23" s="10"/>
      <c r="F23" s="11"/>
      <c r="G23" s="10"/>
      <c r="H23" s="10"/>
      <c r="I23" s="11"/>
      <c r="J23" s="1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  <c r="W23" s="14" t="str">
        <f aca="false">IF(D23="","",D23-使用说明!$B$20)</f>
        <v/>
      </c>
      <c r="X23" s="14" t="str">
        <f aca="false">IF(D23="","",D23-使用说明!$B$21)</f>
        <v/>
      </c>
      <c r="Y23" s="14" t="str">
        <f aca="false">IF(D23="","",D23-使用说明!$B$22)</f>
        <v/>
      </c>
      <c r="Z23" s="12"/>
      <c r="AA23" s="14" t="str">
        <f aca="false">IF(Z23="","",Z23+21)</f>
        <v/>
      </c>
    </row>
    <row r="24" customFormat="false" ht="15" hidden="false" customHeight="false" outlineLevel="0" collapsed="false">
      <c r="A24" s="10"/>
      <c r="B24" s="10"/>
      <c r="C24" s="12"/>
      <c r="D24" s="12"/>
      <c r="E24" s="10"/>
      <c r="F24" s="11"/>
      <c r="G24" s="10"/>
      <c r="H24" s="10"/>
      <c r="I24" s="11"/>
      <c r="J24" s="1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  <c r="W24" s="14" t="str">
        <f aca="false">IF(D24="","",D24-使用说明!$B$20)</f>
        <v/>
      </c>
      <c r="X24" s="14" t="str">
        <f aca="false">IF(D24="","",D24-使用说明!$B$21)</f>
        <v/>
      </c>
      <c r="Y24" s="14" t="str">
        <f aca="false">IF(D24="","",D24-使用说明!$B$22)</f>
        <v/>
      </c>
      <c r="Z24" s="12"/>
      <c r="AA24" s="14" t="str">
        <f aca="false">IF(Z24="","",Z24+21)</f>
        <v/>
      </c>
    </row>
    <row r="25" customFormat="false" ht="15" hidden="false" customHeight="false" outlineLevel="0" collapsed="false">
      <c r="A25" s="10"/>
      <c r="B25" s="10"/>
      <c r="C25" s="12"/>
      <c r="D25" s="12"/>
      <c r="E25" s="10"/>
      <c r="F25" s="11"/>
      <c r="G25" s="10"/>
      <c r="H25" s="10"/>
      <c r="I25" s="11"/>
      <c r="J25" s="1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  <c r="W25" s="14" t="str">
        <f aca="false">IF(D25="","",D25-使用说明!$B$20)</f>
        <v/>
      </c>
      <c r="X25" s="14" t="str">
        <f aca="false">IF(D25="","",D25-使用说明!$B$21)</f>
        <v/>
      </c>
      <c r="Y25" s="14" t="str">
        <f aca="false">IF(D25="","",D25-使用说明!$B$22)</f>
        <v/>
      </c>
      <c r="Z25" s="12"/>
      <c r="AA25" s="14" t="str">
        <f aca="false">IF(Z25="","",Z25+21)</f>
        <v/>
      </c>
    </row>
    <row r="26" customFormat="false" ht="15" hidden="false" customHeight="false" outlineLevel="0" collapsed="false">
      <c r="A26" s="10"/>
      <c r="B26" s="10"/>
      <c r="C26" s="12"/>
      <c r="D26" s="12"/>
      <c r="E26" s="10"/>
      <c r="F26" s="11"/>
      <c r="G26" s="10"/>
      <c r="H26" s="10"/>
      <c r="I26" s="11"/>
      <c r="J26" s="1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  <c r="W26" s="14" t="str">
        <f aca="false">IF(D26="","",D26-使用说明!$B$20)</f>
        <v/>
      </c>
      <c r="X26" s="14" t="str">
        <f aca="false">IF(D26="","",D26-使用说明!$B$21)</f>
        <v/>
      </c>
      <c r="Y26" s="14" t="str">
        <f aca="false">IF(D26="","",D26-使用说明!$B$22)</f>
        <v/>
      </c>
      <c r="Z26" s="12"/>
      <c r="AA26" s="14" t="str">
        <f aca="false">IF(Z26="","",Z26+21)</f>
        <v/>
      </c>
    </row>
    <row r="27" customFormat="false" ht="15" hidden="false" customHeight="false" outlineLevel="0" collapsed="false">
      <c r="A27" s="10"/>
      <c r="B27" s="10"/>
      <c r="C27" s="12"/>
      <c r="D27" s="12"/>
      <c r="E27" s="10"/>
      <c r="F27" s="11"/>
      <c r="G27" s="10"/>
      <c r="H27" s="10"/>
      <c r="I27" s="11"/>
      <c r="J27" s="1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4" t="str">
        <f aca="false">IF(D27="","",D27-使用说明!$B$20)</f>
        <v/>
      </c>
      <c r="X27" s="14" t="str">
        <f aca="false">IF(D27="","",D27-使用说明!$B$21)</f>
        <v/>
      </c>
      <c r="Y27" s="14" t="str">
        <f aca="false">IF(D27="","",D27-使用说明!$B$22)</f>
        <v/>
      </c>
      <c r="Z27" s="12"/>
      <c r="AA27" s="14" t="str">
        <f aca="false">IF(Z27="","",Z27+21)</f>
        <v/>
      </c>
    </row>
    <row r="28" customFormat="false" ht="15" hidden="false" customHeight="false" outlineLevel="0" collapsed="false">
      <c r="A28" s="10"/>
      <c r="B28" s="10"/>
      <c r="C28" s="12"/>
      <c r="D28" s="12"/>
      <c r="E28" s="10"/>
      <c r="F28" s="11"/>
      <c r="G28" s="10"/>
      <c r="H28" s="10"/>
      <c r="I28" s="11"/>
      <c r="J28" s="1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  <c r="W28" s="14" t="str">
        <f aca="false">IF(D28="","",D28-使用说明!$B$20)</f>
        <v/>
      </c>
      <c r="X28" s="14" t="str">
        <f aca="false">IF(D28="","",D28-使用说明!$B$21)</f>
        <v/>
      </c>
      <c r="Y28" s="14" t="str">
        <f aca="false">IF(D28="","",D28-使用说明!$B$22)</f>
        <v/>
      </c>
      <c r="Z28" s="12"/>
      <c r="AA28" s="14" t="str">
        <f aca="false">IF(Z28="","",Z28+21)</f>
        <v/>
      </c>
    </row>
    <row r="29" customFormat="false" ht="15" hidden="false" customHeight="false" outlineLevel="0" collapsed="false">
      <c r="A29" s="10"/>
      <c r="B29" s="10"/>
      <c r="C29" s="12"/>
      <c r="D29" s="12"/>
      <c r="E29" s="10"/>
      <c r="F29" s="11"/>
      <c r="G29" s="10"/>
      <c r="H29" s="10"/>
      <c r="I29" s="11"/>
      <c r="J29" s="1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  <c r="W29" s="14" t="str">
        <f aca="false">IF(D29="","",D29-使用说明!$B$20)</f>
        <v/>
      </c>
      <c r="X29" s="14" t="str">
        <f aca="false">IF(D29="","",D29-使用说明!$B$21)</f>
        <v/>
      </c>
      <c r="Y29" s="14" t="str">
        <f aca="false">IF(D29="","",D29-使用说明!$B$22)</f>
        <v/>
      </c>
      <c r="Z29" s="12"/>
      <c r="AA29" s="14" t="str">
        <f aca="false">IF(Z29="","",Z29+21)</f>
        <v/>
      </c>
    </row>
    <row r="30" customFormat="false" ht="15" hidden="false" customHeight="false" outlineLevel="0" collapsed="false">
      <c r="A30" s="10"/>
      <c r="B30" s="10"/>
      <c r="C30" s="12"/>
      <c r="D30" s="12"/>
      <c r="E30" s="10"/>
      <c r="F30" s="11"/>
      <c r="G30" s="10"/>
      <c r="H30" s="10"/>
      <c r="I30" s="11"/>
      <c r="J30" s="1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  <c r="W30" s="14" t="str">
        <f aca="false">IF(D30="","",D30-使用说明!$B$20)</f>
        <v/>
      </c>
      <c r="X30" s="14" t="str">
        <f aca="false">IF(D30="","",D30-使用说明!$B$21)</f>
        <v/>
      </c>
      <c r="Y30" s="14" t="str">
        <f aca="false">IF(D30="","",D30-使用说明!$B$22)</f>
        <v/>
      </c>
      <c r="Z30" s="12"/>
      <c r="AA30" s="14" t="str">
        <f aca="false">IF(Z30="","",Z30+21)</f>
        <v/>
      </c>
    </row>
    <row r="31" customFormat="false" ht="15" hidden="false" customHeight="false" outlineLevel="0" collapsed="false">
      <c r="A31" s="10"/>
      <c r="B31" s="10"/>
      <c r="C31" s="12"/>
      <c r="D31" s="12"/>
      <c r="E31" s="10"/>
      <c r="F31" s="11"/>
      <c r="G31" s="10"/>
      <c r="H31" s="10"/>
      <c r="I31" s="11"/>
      <c r="J31" s="1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  <c r="W31" s="14" t="str">
        <f aca="false">IF(D31="","",D31-使用说明!$B$20)</f>
        <v/>
      </c>
      <c r="X31" s="14" t="str">
        <f aca="false">IF(D31="","",D31-使用说明!$B$21)</f>
        <v/>
      </c>
      <c r="Y31" s="14" t="str">
        <f aca="false">IF(D31="","",D31-使用说明!$B$22)</f>
        <v/>
      </c>
      <c r="Z31" s="12"/>
      <c r="AA31" s="14" t="str">
        <f aca="false">IF(Z31="","",Z31+21)</f>
        <v/>
      </c>
    </row>
    <row r="32" customFormat="false" ht="15" hidden="false" customHeight="false" outlineLevel="0" collapsed="false">
      <c r="A32" s="10"/>
      <c r="B32" s="10"/>
      <c r="C32" s="12"/>
      <c r="D32" s="12"/>
      <c r="E32" s="10"/>
      <c r="F32" s="11"/>
      <c r="G32" s="10"/>
      <c r="H32" s="10"/>
      <c r="I32" s="11"/>
      <c r="J32" s="1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  <c r="W32" s="14" t="str">
        <f aca="false">IF(D32="","",D32-使用说明!$B$20)</f>
        <v/>
      </c>
      <c r="X32" s="14" t="str">
        <f aca="false">IF(D32="","",D32-使用说明!$B$21)</f>
        <v/>
      </c>
      <c r="Y32" s="14" t="str">
        <f aca="false">IF(D32="","",D32-使用说明!$B$22)</f>
        <v/>
      </c>
      <c r="Z32" s="12"/>
      <c r="AA32" s="14" t="str">
        <f aca="false">IF(Z32="","",Z32+21)</f>
        <v/>
      </c>
    </row>
    <row r="33" customFormat="false" ht="15" hidden="false" customHeight="false" outlineLevel="0" collapsed="false">
      <c r="A33" s="10"/>
      <c r="B33" s="10"/>
      <c r="C33" s="12"/>
      <c r="D33" s="12"/>
      <c r="E33" s="10"/>
      <c r="F33" s="11"/>
      <c r="G33" s="10"/>
      <c r="H33" s="10"/>
      <c r="I33" s="11"/>
      <c r="J33" s="1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  <c r="W33" s="14" t="str">
        <f aca="false">IF(D33="","",D33-使用说明!$B$20)</f>
        <v/>
      </c>
      <c r="X33" s="14" t="str">
        <f aca="false">IF(D33="","",D33-使用说明!$B$21)</f>
        <v/>
      </c>
      <c r="Y33" s="14" t="str">
        <f aca="false">IF(D33="","",D33-使用说明!$B$22)</f>
        <v/>
      </c>
      <c r="Z33" s="12"/>
      <c r="AA33" s="14" t="str">
        <f aca="false">IF(Z33="","",Z33+21)</f>
        <v/>
      </c>
    </row>
    <row r="34" customFormat="false" ht="15" hidden="false" customHeight="false" outlineLevel="0" collapsed="false">
      <c r="A34" s="10"/>
      <c r="B34" s="10"/>
      <c r="C34" s="12"/>
      <c r="D34" s="12"/>
      <c r="E34" s="10"/>
      <c r="F34" s="11"/>
      <c r="G34" s="10"/>
      <c r="H34" s="10"/>
      <c r="I34" s="11"/>
      <c r="J34" s="1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  <c r="W34" s="14" t="str">
        <f aca="false">IF(D34="","",D34-使用说明!$B$20)</f>
        <v/>
      </c>
      <c r="X34" s="14" t="str">
        <f aca="false">IF(D34="","",D34-使用说明!$B$21)</f>
        <v/>
      </c>
      <c r="Y34" s="14" t="str">
        <f aca="false">IF(D34="","",D34-使用说明!$B$22)</f>
        <v/>
      </c>
      <c r="Z34" s="12"/>
      <c r="AA34" s="14" t="str">
        <f aca="false">IF(Z34="","",Z34+21)</f>
        <v/>
      </c>
    </row>
    <row r="35" customFormat="false" ht="15" hidden="false" customHeight="false" outlineLevel="0" collapsed="false">
      <c r="A35" s="10"/>
      <c r="B35" s="10"/>
      <c r="C35" s="12"/>
      <c r="D35" s="12"/>
      <c r="E35" s="10"/>
      <c r="F35" s="11"/>
      <c r="G35" s="10"/>
      <c r="H35" s="10"/>
      <c r="I35" s="11"/>
      <c r="J35" s="1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  <c r="W35" s="14" t="str">
        <f aca="false">IF(D35="","",D35-使用说明!$B$20)</f>
        <v/>
      </c>
      <c r="X35" s="14" t="str">
        <f aca="false">IF(D35="","",D35-使用说明!$B$21)</f>
        <v/>
      </c>
      <c r="Y35" s="14" t="str">
        <f aca="false">IF(D35="","",D35-使用说明!$B$22)</f>
        <v/>
      </c>
      <c r="Z35" s="12"/>
      <c r="AA35" s="14" t="str">
        <f aca="false">IF(Z35="","",Z35+21)</f>
        <v/>
      </c>
    </row>
    <row r="36" customFormat="false" ht="15" hidden="false" customHeight="false" outlineLevel="0" collapsed="false">
      <c r="A36" s="10"/>
      <c r="B36" s="10"/>
      <c r="C36" s="12"/>
      <c r="D36" s="12"/>
      <c r="E36" s="10"/>
      <c r="F36" s="11"/>
      <c r="G36" s="10"/>
      <c r="H36" s="10"/>
      <c r="I36" s="11"/>
      <c r="J36" s="1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  <c r="W36" s="14" t="str">
        <f aca="false">IF(D36="","",D36-使用说明!$B$20)</f>
        <v/>
      </c>
      <c r="X36" s="14" t="str">
        <f aca="false">IF(D36="","",D36-使用说明!$B$21)</f>
        <v/>
      </c>
      <c r="Y36" s="14" t="str">
        <f aca="false">IF(D36="","",D36-使用说明!$B$22)</f>
        <v/>
      </c>
      <c r="Z36" s="12"/>
      <c r="AA36" s="14" t="str">
        <f aca="false">IF(Z36="","",Z36+21)</f>
        <v/>
      </c>
    </row>
    <row r="37" customFormat="false" ht="15" hidden="false" customHeight="false" outlineLevel="0" collapsed="false">
      <c r="A37" s="10"/>
      <c r="B37" s="10"/>
      <c r="C37" s="12"/>
      <c r="D37" s="12"/>
      <c r="E37" s="10"/>
      <c r="F37" s="11"/>
      <c r="G37" s="10"/>
      <c r="H37" s="10"/>
      <c r="I37" s="11"/>
      <c r="J37" s="1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  <c r="W37" s="14" t="str">
        <f aca="false">IF(D37="","",D37-使用说明!$B$20)</f>
        <v/>
      </c>
      <c r="X37" s="14" t="str">
        <f aca="false">IF(D37="","",D37-使用说明!$B$21)</f>
        <v/>
      </c>
      <c r="Y37" s="14" t="str">
        <f aca="false">IF(D37="","",D37-使用说明!$B$22)</f>
        <v/>
      </c>
      <c r="Z37" s="12"/>
      <c r="AA37" s="14" t="str">
        <f aca="false">IF(Z37="","",Z37+21)</f>
        <v/>
      </c>
    </row>
    <row r="38" customFormat="false" ht="15" hidden="false" customHeight="false" outlineLevel="0" collapsed="false">
      <c r="A38" s="10"/>
      <c r="B38" s="10"/>
      <c r="C38" s="12"/>
      <c r="D38" s="12"/>
      <c r="E38" s="10"/>
      <c r="F38" s="11"/>
      <c r="G38" s="10"/>
      <c r="H38" s="10"/>
      <c r="I38" s="11"/>
      <c r="J38" s="1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  <c r="W38" s="14" t="str">
        <f aca="false">IF(D38="","",D38-使用说明!$B$20)</f>
        <v/>
      </c>
      <c r="X38" s="14" t="str">
        <f aca="false">IF(D38="","",D38-使用说明!$B$21)</f>
        <v/>
      </c>
      <c r="Y38" s="14" t="str">
        <f aca="false">IF(D38="","",D38-使用说明!$B$22)</f>
        <v/>
      </c>
      <c r="Z38" s="12"/>
      <c r="AA38" s="14" t="str">
        <f aca="false">IF(Z38="","",Z38+21)</f>
        <v/>
      </c>
    </row>
    <row r="39" customFormat="false" ht="15" hidden="false" customHeight="false" outlineLevel="0" collapsed="false">
      <c r="A39" s="10"/>
      <c r="B39" s="10"/>
      <c r="C39" s="12"/>
      <c r="D39" s="12"/>
      <c r="E39" s="10"/>
      <c r="F39" s="11"/>
      <c r="G39" s="10"/>
      <c r="H39" s="10"/>
      <c r="I39" s="11"/>
      <c r="J39" s="1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  <c r="W39" s="14" t="str">
        <f aca="false">IF(D39="","",D39-使用说明!$B$20)</f>
        <v/>
      </c>
      <c r="X39" s="14" t="str">
        <f aca="false">IF(D39="","",D39-使用说明!$B$21)</f>
        <v/>
      </c>
      <c r="Y39" s="14" t="str">
        <f aca="false">IF(D39="","",D39-使用说明!$B$22)</f>
        <v/>
      </c>
      <c r="Z39" s="12"/>
      <c r="AA39" s="14" t="str">
        <f aca="false">IF(Z39="","",Z39+21)</f>
        <v/>
      </c>
    </row>
    <row r="40" customFormat="false" ht="15" hidden="false" customHeight="false" outlineLevel="0" collapsed="false">
      <c r="A40" s="10"/>
      <c r="B40" s="10"/>
      <c r="C40" s="12"/>
      <c r="D40" s="12"/>
      <c r="E40" s="10"/>
      <c r="F40" s="11"/>
      <c r="G40" s="10"/>
      <c r="H40" s="10"/>
      <c r="I40" s="11"/>
      <c r="J40" s="11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  <c r="W40" s="14" t="str">
        <f aca="false">IF(D40="","",D40-使用说明!$B$20)</f>
        <v/>
      </c>
      <c r="X40" s="14" t="str">
        <f aca="false">IF(D40="","",D40-使用说明!$B$21)</f>
        <v/>
      </c>
      <c r="Y40" s="14" t="str">
        <f aca="false">IF(D40="","",D40-使用说明!$B$22)</f>
        <v/>
      </c>
      <c r="Z40" s="12"/>
      <c r="AA40" s="14" t="str">
        <f aca="false">IF(Z40="","",Z40+21)</f>
        <v/>
      </c>
    </row>
    <row r="41" customFormat="false" ht="15" hidden="false" customHeight="false" outlineLevel="0" collapsed="false">
      <c r="A41" s="10"/>
      <c r="B41" s="10"/>
      <c r="C41" s="12"/>
      <c r="D41" s="12"/>
      <c r="E41" s="10"/>
      <c r="F41" s="11"/>
      <c r="G41" s="10"/>
      <c r="H41" s="10"/>
      <c r="I41" s="11"/>
      <c r="J41" s="11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  <c r="W41" s="14" t="str">
        <f aca="false">IF(D41="","",D41-使用说明!$B$20)</f>
        <v/>
      </c>
      <c r="X41" s="14" t="str">
        <f aca="false">IF(D41="","",D41-使用说明!$B$21)</f>
        <v/>
      </c>
      <c r="Y41" s="14" t="str">
        <f aca="false">IF(D41="","",D41-使用说明!$B$22)</f>
        <v/>
      </c>
      <c r="Z41" s="12"/>
      <c r="AA41" s="14" t="str">
        <f aca="false">IF(Z41="","",Z41+21)</f>
        <v/>
      </c>
    </row>
    <row r="42" customFormat="false" ht="15" hidden="false" customHeight="false" outlineLevel="0" collapsed="false">
      <c r="A42" s="10"/>
      <c r="B42" s="10"/>
      <c r="C42" s="12"/>
      <c r="D42" s="12"/>
      <c r="E42" s="10"/>
      <c r="F42" s="11"/>
      <c r="G42" s="10"/>
      <c r="H42" s="10"/>
      <c r="I42" s="11"/>
      <c r="J42" s="11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  <c r="W42" s="14" t="str">
        <f aca="false">IF(D42="","",D42-使用说明!$B$20)</f>
        <v/>
      </c>
      <c r="X42" s="14" t="str">
        <f aca="false">IF(D42="","",D42-使用说明!$B$21)</f>
        <v/>
      </c>
      <c r="Y42" s="14" t="str">
        <f aca="false">IF(D42="","",D42-使用说明!$B$22)</f>
        <v/>
      </c>
      <c r="Z42" s="12"/>
      <c r="AA42" s="14" t="str">
        <f aca="false">IF(Z42="","",Z42+21)</f>
        <v/>
      </c>
    </row>
    <row r="43" customFormat="false" ht="15" hidden="false" customHeight="false" outlineLevel="0" collapsed="false">
      <c r="A43" s="10"/>
      <c r="B43" s="10"/>
      <c r="C43" s="12"/>
      <c r="D43" s="12"/>
      <c r="E43" s="10"/>
      <c r="F43" s="11"/>
      <c r="G43" s="10"/>
      <c r="H43" s="10"/>
      <c r="I43" s="11"/>
      <c r="J43" s="11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  <c r="W43" s="14" t="str">
        <f aca="false">IF(D43="","",D43-使用说明!$B$20)</f>
        <v/>
      </c>
      <c r="X43" s="14" t="str">
        <f aca="false">IF(D43="","",D43-使用说明!$B$21)</f>
        <v/>
      </c>
      <c r="Y43" s="14" t="str">
        <f aca="false">IF(D43="","",D43-使用说明!$B$22)</f>
        <v/>
      </c>
      <c r="Z43" s="12"/>
      <c r="AA43" s="14" t="str">
        <f aca="false">IF(Z43="","",Z43+21)</f>
        <v/>
      </c>
    </row>
    <row r="44" customFormat="false" ht="15" hidden="false" customHeight="false" outlineLevel="0" collapsed="false">
      <c r="A44" s="10"/>
      <c r="B44" s="10"/>
      <c r="C44" s="12"/>
      <c r="D44" s="12"/>
      <c r="E44" s="10"/>
      <c r="F44" s="11"/>
      <c r="G44" s="10"/>
      <c r="H44" s="10"/>
      <c r="I44" s="11"/>
      <c r="J44" s="11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  <c r="W44" s="14" t="str">
        <f aca="false">IF(D44="","",D44-使用说明!$B$20)</f>
        <v/>
      </c>
      <c r="X44" s="14" t="str">
        <f aca="false">IF(D44="","",D44-使用说明!$B$21)</f>
        <v/>
      </c>
      <c r="Y44" s="14" t="str">
        <f aca="false">IF(D44="","",D44-使用说明!$B$22)</f>
        <v/>
      </c>
      <c r="Z44" s="12"/>
      <c r="AA44" s="14" t="str">
        <f aca="false">IF(Z44="","",Z44+21)</f>
        <v/>
      </c>
    </row>
    <row r="45" customFormat="false" ht="15" hidden="false" customHeight="false" outlineLevel="0" collapsed="false">
      <c r="A45" s="10"/>
      <c r="B45" s="10"/>
      <c r="C45" s="12"/>
      <c r="D45" s="12"/>
      <c r="E45" s="10"/>
      <c r="F45" s="11"/>
      <c r="G45" s="10"/>
      <c r="H45" s="10"/>
      <c r="I45" s="11"/>
      <c r="J45" s="11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  <c r="W45" s="14" t="str">
        <f aca="false">IF(D45="","",D45-使用说明!$B$20)</f>
        <v/>
      </c>
      <c r="X45" s="14" t="str">
        <f aca="false">IF(D45="","",D45-使用说明!$B$21)</f>
        <v/>
      </c>
      <c r="Y45" s="14" t="str">
        <f aca="false">IF(D45="","",D45-使用说明!$B$22)</f>
        <v/>
      </c>
      <c r="Z45" s="12"/>
      <c r="AA45" s="14" t="str">
        <f aca="false">IF(Z45="","",Z45+21)</f>
        <v/>
      </c>
    </row>
    <row r="46" customFormat="false" ht="15" hidden="false" customHeight="false" outlineLevel="0" collapsed="false">
      <c r="A46" s="10"/>
      <c r="B46" s="10"/>
      <c r="C46" s="12"/>
      <c r="D46" s="12"/>
      <c r="E46" s="10"/>
      <c r="F46" s="11"/>
      <c r="G46" s="10"/>
      <c r="H46" s="10"/>
      <c r="I46" s="11"/>
      <c r="J46" s="11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  <c r="W46" s="14" t="str">
        <f aca="false">IF(D46="","",D46-使用说明!$B$20)</f>
        <v/>
      </c>
      <c r="X46" s="14" t="str">
        <f aca="false">IF(D46="","",D46-使用说明!$B$21)</f>
        <v/>
      </c>
      <c r="Y46" s="14" t="str">
        <f aca="false">IF(D46="","",D46-使用说明!$B$22)</f>
        <v/>
      </c>
      <c r="Z46" s="12"/>
      <c r="AA46" s="14" t="str">
        <f aca="false">IF(Z46="","",Z46+21)</f>
        <v/>
      </c>
    </row>
    <row r="47" customFormat="false" ht="15" hidden="false" customHeight="false" outlineLevel="0" collapsed="false">
      <c r="A47" s="10"/>
      <c r="B47" s="10"/>
      <c r="C47" s="12"/>
      <c r="D47" s="12"/>
      <c r="E47" s="10"/>
      <c r="F47" s="11"/>
      <c r="G47" s="10"/>
      <c r="H47" s="10"/>
      <c r="I47" s="11"/>
      <c r="J47" s="11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  <c r="W47" s="14" t="str">
        <f aca="false">IF(D47="","",D47-使用说明!$B$20)</f>
        <v/>
      </c>
      <c r="X47" s="14" t="str">
        <f aca="false">IF(D47="","",D47-使用说明!$B$21)</f>
        <v/>
      </c>
      <c r="Y47" s="14" t="str">
        <f aca="false">IF(D47="","",D47-使用说明!$B$22)</f>
        <v/>
      </c>
      <c r="Z47" s="12"/>
      <c r="AA47" s="14" t="str">
        <f aca="false">IF(Z47="","",Z47+21)</f>
        <v/>
      </c>
    </row>
    <row r="48" customFormat="false" ht="15" hidden="false" customHeight="false" outlineLevel="0" collapsed="false">
      <c r="A48" s="10"/>
      <c r="B48" s="10"/>
      <c r="C48" s="12"/>
      <c r="D48" s="12"/>
      <c r="E48" s="10"/>
      <c r="F48" s="11"/>
      <c r="G48" s="10"/>
      <c r="H48" s="10"/>
      <c r="I48" s="11"/>
      <c r="J48" s="11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  <c r="W48" s="14" t="str">
        <f aca="false">IF(D48="","",D48-使用说明!$B$20)</f>
        <v/>
      </c>
      <c r="X48" s="14" t="str">
        <f aca="false">IF(D48="","",D48-使用说明!$B$21)</f>
        <v/>
      </c>
      <c r="Y48" s="14" t="str">
        <f aca="false">IF(D48="","",D48-使用说明!$B$22)</f>
        <v/>
      </c>
      <c r="Z48" s="12"/>
      <c r="AA48" s="14" t="str">
        <f aca="false">IF(Z48="","",Z48+21)</f>
        <v/>
      </c>
    </row>
    <row r="49" customFormat="false" ht="15" hidden="false" customHeight="false" outlineLevel="0" collapsed="false">
      <c r="A49" s="10"/>
      <c r="B49" s="10"/>
      <c r="C49" s="12"/>
      <c r="D49" s="12"/>
      <c r="E49" s="10"/>
      <c r="F49" s="11"/>
      <c r="G49" s="10"/>
      <c r="H49" s="10"/>
      <c r="I49" s="11"/>
      <c r="J49" s="11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  <c r="W49" s="14" t="str">
        <f aca="false">IF(D49="","",D49-使用说明!$B$20)</f>
        <v/>
      </c>
      <c r="X49" s="14" t="str">
        <f aca="false">IF(D49="","",D49-使用说明!$B$21)</f>
        <v/>
      </c>
      <c r="Y49" s="14" t="str">
        <f aca="false">IF(D49="","",D49-使用说明!$B$22)</f>
        <v/>
      </c>
      <c r="Z49" s="12"/>
      <c r="AA49" s="14" t="str">
        <f aca="false">IF(Z49="","",Z49+21)</f>
        <v/>
      </c>
    </row>
    <row r="50" customFormat="false" ht="15" hidden="false" customHeight="false" outlineLevel="0" collapsed="false">
      <c r="A50" s="10"/>
      <c r="B50" s="10"/>
      <c r="C50" s="12"/>
      <c r="D50" s="12"/>
      <c r="E50" s="10"/>
      <c r="F50" s="11"/>
      <c r="G50" s="10"/>
      <c r="H50" s="10"/>
      <c r="I50" s="11"/>
      <c r="J50" s="11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  <c r="W50" s="14" t="str">
        <f aca="false">IF(D50="","",D50-使用说明!$B$20)</f>
        <v/>
      </c>
      <c r="X50" s="14" t="str">
        <f aca="false">IF(D50="","",D50-使用说明!$B$21)</f>
        <v/>
      </c>
      <c r="Y50" s="14" t="str">
        <f aca="false">IF(D50="","",D50-使用说明!$B$22)</f>
        <v/>
      </c>
      <c r="Z50" s="12"/>
      <c r="AA50" s="14" t="str">
        <f aca="false">IF(Z50="","",Z50+21)</f>
        <v/>
      </c>
    </row>
    <row r="51" customFormat="false" ht="15" hidden="false" customHeight="false" outlineLevel="0" collapsed="false">
      <c r="A51" s="10"/>
      <c r="B51" s="10"/>
      <c r="C51" s="12"/>
      <c r="D51" s="12"/>
      <c r="E51" s="10"/>
      <c r="F51" s="11"/>
      <c r="G51" s="10"/>
      <c r="H51" s="10"/>
      <c r="I51" s="11"/>
      <c r="J51" s="11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  <c r="W51" s="14" t="str">
        <f aca="false">IF(D51="","",D51-使用说明!$B$20)</f>
        <v/>
      </c>
      <c r="X51" s="14" t="str">
        <f aca="false">IF(D51="","",D51-使用说明!$B$21)</f>
        <v/>
      </c>
      <c r="Y51" s="14" t="str">
        <f aca="false">IF(D51="","",D51-使用说明!$B$22)</f>
        <v/>
      </c>
      <c r="Z51" s="12"/>
      <c r="AA51" s="14" t="str">
        <f aca="false">IF(Z51="","",Z51+21)</f>
        <v/>
      </c>
    </row>
    <row r="52" customFormat="false" ht="15" hidden="false" customHeight="false" outlineLevel="0" collapsed="false">
      <c r="A52" s="10"/>
      <c r="B52" s="10"/>
      <c r="C52" s="12"/>
      <c r="D52" s="12"/>
      <c r="E52" s="10"/>
      <c r="F52" s="11"/>
      <c r="G52" s="10"/>
      <c r="H52" s="10"/>
      <c r="I52" s="11"/>
      <c r="J52" s="11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  <c r="W52" s="14" t="str">
        <f aca="false">IF(D52="","",D52-使用说明!$B$20)</f>
        <v/>
      </c>
      <c r="X52" s="14" t="str">
        <f aca="false">IF(D52="","",D52-使用说明!$B$21)</f>
        <v/>
      </c>
      <c r="Y52" s="14" t="str">
        <f aca="false">IF(D52="","",D52-使用说明!$B$22)</f>
        <v/>
      </c>
      <c r="Z52" s="12"/>
      <c r="AA52" s="14" t="str">
        <f aca="false">IF(Z52="","",Z52+21)</f>
        <v/>
      </c>
    </row>
    <row r="53" customFormat="false" ht="15" hidden="false" customHeight="false" outlineLevel="0" collapsed="false">
      <c r="A53" s="10"/>
      <c r="B53" s="10"/>
      <c r="C53" s="12"/>
      <c r="D53" s="12"/>
      <c r="E53" s="10"/>
      <c r="F53" s="11"/>
      <c r="G53" s="10"/>
      <c r="H53" s="10"/>
      <c r="I53" s="11"/>
      <c r="J53" s="11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  <c r="W53" s="14" t="str">
        <f aca="false">IF(D53="","",D53-使用说明!$B$20)</f>
        <v/>
      </c>
      <c r="X53" s="14" t="str">
        <f aca="false">IF(D53="","",D53-使用说明!$B$21)</f>
        <v/>
      </c>
      <c r="Y53" s="14" t="str">
        <f aca="false">IF(D53="","",D53-使用说明!$B$22)</f>
        <v/>
      </c>
      <c r="Z53" s="12"/>
      <c r="AA53" s="14" t="str">
        <f aca="false">IF(Z53="","",Z53+21)</f>
        <v/>
      </c>
    </row>
    <row r="54" customFormat="false" ht="15" hidden="false" customHeight="false" outlineLevel="0" collapsed="false">
      <c r="A54" s="10"/>
      <c r="B54" s="10"/>
      <c r="C54" s="12"/>
      <c r="D54" s="12"/>
      <c r="E54" s="10"/>
      <c r="F54" s="11"/>
      <c r="G54" s="10"/>
      <c r="H54" s="10"/>
      <c r="I54" s="11"/>
      <c r="J54" s="11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  <c r="W54" s="14" t="str">
        <f aca="false">IF(D54="","",D54-使用说明!$B$20)</f>
        <v/>
      </c>
      <c r="X54" s="14" t="str">
        <f aca="false">IF(D54="","",D54-使用说明!$B$21)</f>
        <v/>
      </c>
      <c r="Y54" s="14" t="str">
        <f aca="false">IF(D54="","",D54-使用说明!$B$22)</f>
        <v/>
      </c>
      <c r="Z54" s="12"/>
      <c r="AA54" s="14" t="str">
        <f aca="false">IF(Z54="","",Z54+21)</f>
        <v/>
      </c>
    </row>
    <row r="55" customFormat="false" ht="15" hidden="false" customHeight="false" outlineLevel="0" collapsed="false">
      <c r="A55" s="10"/>
      <c r="B55" s="10"/>
      <c r="C55" s="12"/>
      <c r="D55" s="12"/>
      <c r="E55" s="10"/>
      <c r="F55" s="11"/>
      <c r="G55" s="10"/>
      <c r="H55" s="10"/>
      <c r="I55" s="11"/>
      <c r="J55" s="11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  <c r="W55" s="14" t="str">
        <f aca="false">IF(D55="","",D55-使用说明!$B$20)</f>
        <v/>
      </c>
      <c r="X55" s="14" t="str">
        <f aca="false">IF(D55="","",D55-使用说明!$B$21)</f>
        <v/>
      </c>
      <c r="Y55" s="14" t="str">
        <f aca="false">IF(D55="","",D55-使用说明!$B$22)</f>
        <v/>
      </c>
      <c r="Z55" s="12"/>
      <c r="AA55" s="14" t="str">
        <f aca="false">IF(Z55="","",Z55+21)</f>
        <v/>
      </c>
    </row>
    <row r="56" customFormat="false" ht="15" hidden="false" customHeight="false" outlineLevel="0" collapsed="false">
      <c r="A56" s="10"/>
      <c r="B56" s="10"/>
      <c r="C56" s="12"/>
      <c r="D56" s="12"/>
      <c r="E56" s="10"/>
      <c r="F56" s="11"/>
      <c r="G56" s="10"/>
      <c r="H56" s="10"/>
      <c r="I56" s="11"/>
      <c r="J56" s="11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  <c r="W56" s="14" t="str">
        <f aca="false">IF(D56="","",D56-使用说明!$B$20)</f>
        <v/>
      </c>
      <c r="X56" s="14" t="str">
        <f aca="false">IF(D56="","",D56-使用说明!$B$21)</f>
        <v/>
      </c>
      <c r="Y56" s="14" t="str">
        <f aca="false">IF(D56="","",D56-使用说明!$B$22)</f>
        <v/>
      </c>
      <c r="Z56" s="12"/>
      <c r="AA56" s="14" t="str">
        <f aca="false">IF(Z56="","",Z56+21)</f>
        <v/>
      </c>
    </row>
    <row r="57" customFormat="false" ht="15" hidden="false" customHeight="false" outlineLevel="0" collapsed="false">
      <c r="A57" s="10"/>
      <c r="B57" s="10"/>
      <c r="C57" s="12"/>
      <c r="D57" s="12"/>
      <c r="E57" s="10"/>
      <c r="F57" s="11"/>
      <c r="G57" s="10"/>
      <c r="H57" s="10"/>
      <c r="I57" s="11"/>
      <c r="J57" s="11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  <c r="W57" s="14" t="str">
        <f aca="false">IF(D57="","",D57-使用说明!$B$20)</f>
        <v/>
      </c>
      <c r="X57" s="14" t="str">
        <f aca="false">IF(D57="","",D57-使用说明!$B$21)</f>
        <v/>
      </c>
      <c r="Y57" s="14" t="str">
        <f aca="false">IF(D57="","",D57-使用说明!$B$22)</f>
        <v/>
      </c>
      <c r="Z57" s="12"/>
      <c r="AA57" s="14" t="str">
        <f aca="false">IF(Z57="","",Z57+21)</f>
        <v/>
      </c>
    </row>
    <row r="58" customFormat="false" ht="15" hidden="false" customHeight="false" outlineLevel="0" collapsed="false">
      <c r="A58" s="10"/>
      <c r="B58" s="10"/>
      <c r="C58" s="12"/>
      <c r="D58" s="12"/>
      <c r="E58" s="10"/>
      <c r="F58" s="11"/>
      <c r="G58" s="10"/>
      <c r="H58" s="10"/>
      <c r="I58" s="11"/>
      <c r="J58" s="11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  <c r="W58" s="14" t="str">
        <f aca="false">IF(D58="","",D58-使用说明!$B$20)</f>
        <v/>
      </c>
      <c r="X58" s="14" t="str">
        <f aca="false">IF(D58="","",D58-使用说明!$B$21)</f>
        <v/>
      </c>
      <c r="Y58" s="14" t="str">
        <f aca="false">IF(D58="","",D58-使用说明!$B$22)</f>
        <v/>
      </c>
      <c r="Z58" s="12"/>
      <c r="AA58" s="14" t="str">
        <f aca="false">IF(Z58="","",Z58+21)</f>
        <v/>
      </c>
    </row>
    <row r="59" customFormat="false" ht="15" hidden="false" customHeight="false" outlineLevel="0" collapsed="false">
      <c r="A59" s="10"/>
      <c r="B59" s="10"/>
      <c r="C59" s="12"/>
      <c r="D59" s="12"/>
      <c r="E59" s="10"/>
      <c r="F59" s="11"/>
      <c r="G59" s="10"/>
      <c r="H59" s="10"/>
      <c r="I59" s="11"/>
      <c r="J59" s="11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  <c r="W59" s="14" t="str">
        <f aca="false">IF(D59="","",D59-使用说明!$B$20)</f>
        <v/>
      </c>
      <c r="X59" s="14" t="str">
        <f aca="false">IF(D59="","",D59-使用说明!$B$21)</f>
        <v/>
      </c>
      <c r="Y59" s="14" t="str">
        <f aca="false">IF(D59="","",D59-使用说明!$B$22)</f>
        <v/>
      </c>
      <c r="Z59" s="12"/>
      <c r="AA59" s="14" t="str">
        <f aca="false">IF(Z59="","",Z59+21)</f>
        <v/>
      </c>
    </row>
    <row r="60" customFormat="false" ht="15" hidden="false" customHeight="false" outlineLevel="0" collapsed="false">
      <c r="A60" s="10"/>
      <c r="B60" s="10"/>
      <c r="C60" s="12"/>
      <c r="D60" s="12"/>
      <c r="E60" s="10"/>
      <c r="F60" s="11"/>
      <c r="G60" s="10"/>
      <c r="H60" s="10"/>
      <c r="I60" s="11"/>
      <c r="J60" s="11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  <c r="W60" s="14" t="str">
        <f aca="false">IF(D60="","",D60-使用说明!$B$20)</f>
        <v/>
      </c>
      <c r="X60" s="14" t="str">
        <f aca="false">IF(D60="","",D60-使用说明!$B$21)</f>
        <v/>
      </c>
      <c r="Y60" s="14" t="str">
        <f aca="false">IF(D60="","",D60-使用说明!$B$22)</f>
        <v/>
      </c>
      <c r="Z60" s="12"/>
      <c r="AA60" s="14" t="str">
        <f aca="false">IF(Z60="","",Z60+21)</f>
        <v/>
      </c>
    </row>
    <row r="61" customFormat="false" ht="15" hidden="false" customHeight="false" outlineLevel="0" collapsed="false">
      <c r="A61" s="10"/>
      <c r="B61" s="10"/>
      <c r="C61" s="12"/>
      <c r="D61" s="12"/>
      <c r="E61" s="10"/>
      <c r="F61" s="11"/>
      <c r="G61" s="10"/>
      <c r="H61" s="10"/>
      <c r="I61" s="11"/>
      <c r="J61" s="11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  <c r="W61" s="14" t="str">
        <f aca="false">IF(D61="","",D61-使用说明!$B$20)</f>
        <v/>
      </c>
      <c r="X61" s="14" t="str">
        <f aca="false">IF(D61="","",D61-使用说明!$B$21)</f>
        <v/>
      </c>
      <c r="Y61" s="14" t="str">
        <f aca="false">IF(D61="","",D61-使用说明!$B$22)</f>
        <v/>
      </c>
      <c r="Z61" s="12"/>
      <c r="AA61" s="14" t="str">
        <f aca="false">IF(Z61="","",Z61+21)</f>
        <v/>
      </c>
    </row>
    <row r="62" customFormat="false" ht="15" hidden="false" customHeight="false" outlineLevel="0" collapsed="false">
      <c r="A62" s="10"/>
      <c r="B62" s="10"/>
      <c r="C62" s="12"/>
      <c r="D62" s="12"/>
      <c r="E62" s="10"/>
      <c r="F62" s="11"/>
      <c r="G62" s="10"/>
      <c r="H62" s="10"/>
      <c r="I62" s="11"/>
      <c r="J62" s="11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  <c r="W62" s="14" t="str">
        <f aca="false">IF(D62="","",D62-使用说明!$B$20)</f>
        <v/>
      </c>
      <c r="X62" s="14" t="str">
        <f aca="false">IF(D62="","",D62-使用说明!$B$21)</f>
        <v/>
      </c>
      <c r="Y62" s="14" t="str">
        <f aca="false">IF(D62="","",D62-使用说明!$B$22)</f>
        <v/>
      </c>
      <c r="Z62" s="12"/>
      <c r="AA62" s="14" t="str">
        <f aca="false">IF(Z62="","",Z62+21)</f>
        <v/>
      </c>
    </row>
    <row r="63" customFormat="false" ht="15" hidden="false" customHeight="false" outlineLevel="0" collapsed="false">
      <c r="A63" s="10"/>
      <c r="B63" s="10"/>
      <c r="C63" s="12"/>
      <c r="D63" s="12"/>
      <c r="E63" s="10"/>
      <c r="F63" s="11"/>
      <c r="G63" s="10"/>
      <c r="H63" s="10"/>
      <c r="I63" s="11"/>
      <c r="J63" s="11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  <c r="W63" s="14" t="str">
        <f aca="false">IF(D63="","",D63-使用说明!$B$20)</f>
        <v/>
      </c>
      <c r="X63" s="14" t="str">
        <f aca="false">IF(D63="","",D63-使用说明!$B$21)</f>
        <v/>
      </c>
      <c r="Y63" s="14" t="str">
        <f aca="false">IF(D63="","",D63-使用说明!$B$22)</f>
        <v/>
      </c>
      <c r="Z63" s="12"/>
      <c r="AA63" s="14" t="str">
        <f aca="false">IF(Z63="","",Z63+21)</f>
        <v/>
      </c>
    </row>
    <row r="64" customFormat="false" ht="15" hidden="false" customHeight="false" outlineLevel="0" collapsed="false">
      <c r="A64" s="10"/>
      <c r="B64" s="10"/>
      <c r="C64" s="12"/>
      <c r="D64" s="12"/>
      <c r="E64" s="10"/>
      <c r="F64" s="11"/>
      <c r="G64" s="10"/>
      <c r="H64" s="10"/>
      <c r="I64" s="11"/>
      <c r="J64" s="11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  <c r="W64" s="14" t="str">
        <f aca="false">IF(D64="","",D64-使用说明!$B$20)</f>
        <v/>
      </c>
      <c r="X64" s="14" t="str">
        <f aca="false">IF(D64="","",D64-使用说明!$B$21)</f>
        <v/>
      </c>
      <c r="Y64" s="14" t="str">
        <f aca="false">IF(D64="","",D64-使用说明!$B$22)</f>
        <v/>
      </c>
      <c r="Z64" s="12"/>
      <c r="AA64" s="14" t="str">
        <f aca="false">IF(Z64="","",Z64+21)</f>
        <v/>
      </c>
    </row>
    <row r="65" customFormat="false" ht="15" hidden="false" customHeight="false" outlineLevel="0" collapsed="false">
      <c r="A65" s="10"/>
      <c r="B65" s="10"/>
      <c r="C65" s="12"/>
      <c r="D65" s="12"/>
      <c r="E65" s="10"/>
      <c r="F65" s="11"/>
      <c r="G65" s="10"/>
      <c r="H65" s="10"/>
      <c r="I65" s="11"/>
      <c r="J65" s="11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  <c r="W65" s="14" t="str">
        <f aca="false">IF(D65="","",D65-使用说明!$B$20)</f>
        <v/>
      </c>
      <c r="X65" s="14" t="str">
        <f aca="false">IF(D65="","",D65-使用说明!$B$21)</f>
        <v/>
      </c>
      <c r="Y65" s="14" t="str">
        <f aca="false">IF(D65="","",D65-使用说明!$B$22)</f>
        <v/>
      </c>
      <c r="Z65" s="12"/>
      <c r="AA65" s="14" t="str">
        <f aca="false">IF(Z65="","",Z65+21)</f>
        <v/>
      </c>
    </row>
    <row r="66" customFormat="false" ht="15" hidden="false" customHeight="false" outlineLevel="0" collapsed="false">
      <c r="A66" s="10"/>
      <c r="B66" s="10"/>
      <c r="C66" s="12"/>
      <c r="D66" s="12"/>
      <c r="E66" s="10"/>
      <c r="F66" s="11"/>
      <c r="G66" s="10"/>
      <c r="H66" s="10"/>
      <c r="I66" s="11"/>
      <c r="J66" s="11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  <c r="W66" s="14" t="str">
        <f aca="false">IF(D66="","",D66-使用说明!$B$20)</f>
        <v/>
      </c>
      <c r="X66" s="14" t="str">
        <f aca="false">IF(D66="","",D66-使用说明!$B$21)</f>
        <v/>
      </c>
      <c r="Y66" s="14" t="str">
        <f aca="false">IF(D66="","",D66-使用说明!$B$22)</f>
        <v/>
      </c>
      <c r="Z66" s="12"/>
      <c r="AA66" s="14" t="str">
        <f aca="false">IF(Z66="","",Z66+21)</f>
        <v/>
      </c>
    </row>
    <row r="67" customFormat="false" ht="15" hidden="false" customHeight="false" outlineLevel="0" collapsed="false">
      <c r="A67" s="10"/>
      <c r="B67" s="10"/>
      <c r="C67" s="12"/>
      <c r="D67" s="12"/>
      <c r="E67" s="10"/>
      <c r="F67" s="11"/>
      <c r="G67" s="10"/>
      <c r="H67" s="10"/>
      <c r="I67" s="11"/>
      <c r="J67" s="11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  <c r="W67" s="14" t="str">
        <f aca="false">IF(D67="","",D67-使用说明!$B$20)</f>
        <v/>
      </c>
      <c r="X67" s="14" t="str">
        <f aca="false">IF(D67="","",D67-使用说明!$B$21)</f>
        <v/>
      </c>
      <c r="Y67" s="14" t="str">
        <f aca="false">IF(D67="","",D67-使用说明!$B$22)</f>
        <v/>
      </c>
      <c r="Z67" s="12"/>
      <c r="AA67" s="14" t="str">
        <f aca="false">IF(Z67="","",Z67+21)</f>
        <v/>
      </c>
    </row>
    <row r="68" customFormat="false" ht="15" hidden="false" customHeight="false" outlineLevel="0" collapsed="false">
      <c r="A68" s="10"/>
      <c r="B68" s="10"/>
      <c r="C68" s="12"/>
      <c r="D68" s="12"/>
      <c r="E68" s="10"/>
      <c r="F68" s="11"/>
      <c r="G68" s="10"/>
      <c r="H68" s="10"/>
      <c r="I68" s="11"/>
      <c r="J68" s="11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  <c r="W68" s="14" t="str">
        <f aca="false">IF(D68="","",D68-使用说明!$B$20)</f>
        <v/>
      </c>
      <c r="X68" s="14" t="str">
        <f aca="false">IF(D68="","",D68-使用说明!$B$21)</f>
        <v/>
      </c>
      <c r="Y68" s="14" t="str">
        <f aca="false">IF(D68="","",D68-使用说明!$B$22)</f>
        <v/>
      </c>
      <c r="Z68" s="12"/>
      <c r="AA68" s="14" t="str">
        <f aca="false">IF(Z68="","",Z68+21)</f>
        <v/>
      </c>
    </row>
    <row r="69" customFormat="false" ht="15" hidden="false" customHeight="false" outlineLevel="0" collapsed="false">
      <c r="A69" s="10"/>
      <c r="B69" s="10"/>
      <c r="C69" s="12"/>
      <c r="D69" s="12"/>
      <c r="E69" s="10"/>
      <c r="F69" s="11"/>
      <c r="G69" s="10"/>
      <c r="H69" s="10"/>
      <c r="I69" s="11"/>
      <c r="J69" s="11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  <c r="W69" s="14" t="str">
        <f aca="false">IF(D69="","",D69-使用说明!$B$20)</f>
        <v/>
      </c>
      <c r="X69" s="14" t="str">
        <f aca="false">IF(D69="","",D69-使用说明!$B$21)</f>
        <v/>
      </c>
      <c r="Y69" s="14" t="str">
        <f aca="false">IF(D69="","",D69-使用说明!$B$22)</f>
        <v/>
      </c>
      <c r="Z69" s="12"/>
      <c r="AA69" s="14" t="str">
        <f aca="false">IF(Z69="","",Z69+21)</f>
        <v/>
      </c>
    </row>
    <row r="70" customFormat="false" ht="15" hidden="false" customHeight="false" outlineLevel="0" collapsed="false">
      <c r="A70" s="10"/>
      <c r="B70" s="10"/>
      <c r="C70" s="12"/>
      <c r="D70" s="12"/>
      <c r="E70" s="10"/>
      <c r="F70" s="11"/>
      <c r="G70" s="10"/>
      <c r="H70" s="10"/>
      <c r="I70" s="11"/>
      <c r="J70" s="11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  <c r="W70" s="14" t="str">
        <f aca="false">IF(D70="","",D70-使用说明!$B$20)</f>
        <v/>
      </c>
      <c r="X70" s="14" t="str">
        <f aca="false">IF(D70="","",D70-使用说明!$B$21)</f>
        <v/>
      </c>
      <c r="Y70" s="14" t="str">
        <f aca="false">IF(D70="","",D70-使用说明!$B$22)</f>
        <v/>
      </c>
      <c r="Z70" s="12"/>
      <c r="AA70" s="14" t="str">
        <f aca="false">IF(Z70="","",Z70+21)</f>
        <v/>
      </c>
    </row>
    <row r="71" customFormat="false" ht="15" hidden="false" customHeight="false" outlineLevel="0" collapsed="false">
      <c r="A71" s="10"/>
      <c r="B71" s="10"/>
      <c r="C71" s="12"/>
      <c r="D71" s="12"/>
      <c r="E71" s="10"/>
      <c r="F71" s="11"/>
      <c r="G71" s="10"/>
      <c r="H71" s="10"/>
      <c r="I71" s="11"/>
      <c r="J71" s="11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  <c r="W71" s="14" t="str">
        <f aca="false">IF(D71="","",D71-使用说明!$B$20)</f>
        <v/>
      </c>
      <c r="X71" s="14" t="str">
        <f aca="false">IF(D71="","",D71-使用说明!$B$21)</f>
        <v/>
      </c>
      <c r="Y71" s="14" t="str">
        <f aca="false">IF(D71="","",D71-使用说明!$B$22)</f>
        <v/>
      </c>
      <c r="Z71" s="12"/>
      <c r="AA71" s="14" t="str">
        <f aca="false">IF(Z71="","",Z71+21)</f>
        <v/>
      </c>
    </row>
    <row r="72" customFormat="false" ht="15" hidden="false" customHeight="false" outlineLevel="0" collapsed="false">
      <c r="A72" s="10"/>
      <c r="B72" s="10"/>
      <c r="C72" s="12"/>
      <c r="D72" s="12"/>
      <c r="E72" s="10"/>
      <c r="F72" s="11"/>
      <c r="G72" s="10"/>
      <c r="H72" s="10"/>
      <c r="I72" s="11"/>
      <c r="J72" s="11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  <c r="W72" s="14" t="str">
        <f aca="false">IF(D72="","",D72-使用说明!$B$20)</f>
        <v/>
      </c>
      <c r="X72" s="14" t="str">
        <f aca="false">IF(D72="","",D72-使用说明!$B$21)</f>
        <v/>
      </c>
      <c r="Y72" s="14" t="str">
        <f aca="false">IF(D72="","",D72-使用说明!$B$22)</f>
        <v/>
      </c>
      <c r="Z72" s="12"/>
      <c r="AA72" s="14" t="str">
        <f aca="false">IF(Z72="","",Z72+21)</f>
        <v/>
      </c>
    </row>
    <row r="73" customFormat="false" ht="15" hidden="false" customHeight="false" outlineLevel="0" collapsed="false">
      <c r="A73" s="10"/>
      <c r="B73" s="10"/>
      <c r="C73" s="12"/>
      <c r="D73" s="12"/>
      <c r="E73" s="10"/>
      <c r="F73" s="11"/>
      <c r="G73" s="10"/>
      <c r="H73" s="10"/>
      <c r="I73" s="11"/>
      <c r="J73" s="11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  <c r="W73" s="14" t="str">
        <f aca="false">IF(D73="","",D73-使用说明!$B$20)</f>
        <v/>
      </c>
      <c r="X73" s="14" t="str">
        <f aca="false">IF(D73="","",D73-使用说明!$B$21)</f>
        <v/>
      </c>
      <c r="Y73" s="14" t="str">
        <f aca="false">IF(D73="","",D73-使用说明!$B$22)</f>
        <v/>
      </c>
      <c r="Z73" s="12"/>
      <c r="AA73" s="14" t="str">
        <f aca="false">IF(Z73="","",Z73+21)</f>
        <v/>
      </c>
    </row>
    <row r="74" customFormat="false" ht="15" hidden="false" customHeight="false" outlineLevel="0" collapsed="false">
      <c r="A74" s="10"/>
      <c r="B74" s="10"/>
      <c r="C74" s="12"/>
      <c r="D74" s="12"/>
      <c r="E74" s="10"/>
      <c r="F74" s="11"/>
      <c r="G74" s="10"/>
      <c r="H74" s="10"/>
      <c r="I74" s="11"/>
      <c r="J74" s="11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  <c r="W74" s="14" t="str">
        <f aca="false">IF(D74="","",D74-使用说明!$B$20)</f>
        <v/>
      </c>
      <c r="X74" s="14" t="str">
        <f aca="false">IF(D74="","",D74-使用说明!$B$21)</f>
        <v/>
      </c>
      <c r="Y74" s="14" t="str">
        <f aca="false">IF(D74="","",D74-使用说明!$B$22)</f>
        <v/>
      </c>
      <c r="Z74" s="12"/>
      <c r="AA74" s="14" t="str">
        <f aca="false">IF(Z74="","",Z74+21)</f>
        <v/>
      </c>
    </row>
    <row r="75" customFormat="false" ht="15" hidden="false" customHeight="false" outlineLevel="0" collapsed="false">
      <c r="A75" s="10"/>
      <c r="B75" s="10"/>
      <c r="C75" s="12"/>
      <c r="D75" s="12"/>
      <c r="E75" s="10"/>
      <c r="F75" s="11"/>
      <c r="G75" s="10"/>
      <c r="H75" s="10"/>
      <c r="I75" s="11"/>
      <c r="J75" s="11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  <c r="W75" s="14" t="str">
        <f aca="false">IF(D75="","",D75-使用说明!$B$20)</f>
        <v/>
      </c>
      <c r="X75" s="14" t="str">
        <f aca="false">IF(D75="","",D75-使用说明!$B$21)</f>
        <v/>
      </c>
      <c r="Y75" s="14" t="str">
        <f aca="false">IF(D75="","",D75-使用说明!$B$22)</f>
        <v/>
      </c>
      <c r="Z75" s="12"/>
      <c r="AA75" s="14" t="str">
        <f aca="false">IF(Z75="","",Z75+21)</f>
        <v/>
      </c>
    </row>
    <row r="76" customFormat="false" ht="15" hidden="false" customHeight="false" outlineLevel="0" collapsed="false">
      <c r="A76" s="10"/>
      <c r="B76" s="10"/>
      <c r="C76" s="12"/>
      <c r="D76" s="12"/>
      <c r="E76" s="10"/>
      <c r="F76" s="11"/>
      <c r="G76" s="10"/>
      <c r="H76" s="10"/>
      <c r="I76" s="11"/>
      <c r="J76" s="11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  <c r="W76" s="14" t="str">
        <f aca="false">IF(D76="","",D76-使用说明!$B$20)</f>
        <v/>
      </c>
      <c r="X76" s="14" t="str">
        <f aca="false">IF(D76="","",D76-使用说明!$B$21)</f>
        <v/>
      </c>
      <c r="Y76" s="14" t="str">
        <f aca="false">IF(D76="","",D76-使用说明!$B$22)</f>
        <v/>
      </c>
      <c r="Z76" s="12"/>
      <c r="AA76" s="14" t="str">
        <f aca="false">IF(Z76="","",Z76+21)</f>
        <v/>
      </c>
    </row>
    <row r="77" customFormat="false" ht="15" hidden="false" customHeight="false" outlineLevel="0" collapsed="false">
      <c r="A77" s="10"/>
      <c r="B77" s="10"/>
      <c r="C77" s="12"/>
      <c r="D77" s="12"/>
      <c r="E77" s="10"/>
      <c r="F77" s="11"/>
      <c r="G77" s="10"/>
      <c r="H77" s="10"/>
      <c r="I77" s="11"/>
      <c r="J77" s="11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  <c r="W77" s="14" t="str">
        <f aca="false">IF(D77="","",D77-使用说明!$B$20)</f>
        <v/>
      </c>
      <c r="X77" s="14" t="str">
        <f aca="false">IF(D77="","",D77-使用说明!$B$21)</f>
        <v/>
      </c>
      <c r="Y77" s="14" t="str">
        <f aca="false">IF(D77="","",D77-使用说明!$B$22)</f>
        <v/>
      </c>
      <c r="Z77" s="12"/>
      <c r="AA77" s="14" t="str">
        <f aca="false">IF(Z77="","",Z77+21)</f>
        <v/>
      </c>
    </row>
    <row r="78" customFormat="false" ht="15" hidden="false" customHeight="false" outlineLevel="0" collapsed="false">
      <c r="A78" s="10"/>
      <c r="B78" s="10"/>
      <c r="C78" s="12"/>
      <c r="D78" s="12"/>
      <c r="E78" s="10"/>
      <c r="F78" s="11"/>
      <c r="G78" s="10"/>
      <c r="H78" s="10"/>
      <c r="I78" s="11"/>
      <c r="J78" s="11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  <c r="W78" s="14" t="str">
        <f aca="false">IF(D78="","",D78-使用说明!$B$20)</f>
        <v/>
      </c>
      <c r="X78" s="14" t="str">
        <f aca="false">IF(D78="","",D78-使用说明!$B$21)</f>
        <v/>
      </c>
      <c r="Y78" s="14" t="str">
        <f aca="false">IF(D78="","",D78-使用说明!$B$22)</f>
        <v/>
      </c>
      <c r="Z78" s="12"/>
      <c r="AA78" s="14" t="str">
        <f aca="false">IF(Z78="","",Z78+21)</f>
        <v/>
      </c>
    </row>
    <row r="79" customFormat="false" ht="15" hidden="false" customHeight="false" outlineLevel="0" collapsed="false">
      <c r="A79" s="10"/>
      <c r="B79" s="10"/>
      <c r="C79" s="12"/>
      <c r="D79" s="12"/>
      <c r="E79" s="10"/>
      <c r="F79" s="11"/>
      <c r="G79" s="10"/>
      <c r="H79" s="10"/>
      <c r="I79" s="11"/>
      <c r="J79" s="11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  <c r="W79" s="14" t="str">
        <f aca="false">IF(D79="","",D79-使用说明!$B$20)</f>
        <v/>
      </c>
      <c r="X79" s="14" t="str">
        <f aca="false">IF(D79="","",D79-使用说明!$B$21)</f>
        <v/>
      </c>
      <c r="Y79" s="14" t="str">
        <f aca="false">IF(D79="","",D79-使用说明!$B$22)</f>
        <v/>
      </c>
      <c r="Z79" s="12"/>
      <c r="AA79" s="14" t="str">
        <f aca="false">IF(Z79="","",Z79+21)</f>
        <v/>
      </c>
    </row>
    <row r="80" customFormat="false" ht="15" hidden="false" customHeight="false" outlineLevel="0" collapsed="false">
      <c r="A80" s="10"/>
      <c r="B80" s="10"/>
      <c r="C80" s="12"/>
      <c r="D80" s="12"/>
      <c r="E80" s="10"/>
      <c r="F80" s="11"/>
      <c r="G80" s="10"/>
      <c r="H80" s="10"/>
      <c r="I80" s="11"/>
      <c r="J80" s="11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  <c r="W80" s="14" t="str">
        <f aca="false">IF(D80="","",D80-使用说明!$B$20)</f>
        <v/>
      </c>
      <c r="X80" s="14" t="str">
        <f aca="false">IF(D80="","",D80-使用说明!$B$21)</f>
        <v/>
      </c>
      <c r="Y80" s="14" t="str">
        <f aca="false">IF(D80="","",D80-使用说明!$B$22)</f>
        <v/>
      </c>
      <c r="Z80" s="12"/>
      <c r="AA80" s="14" t="str">
        <f aca="false">IF(Z80="","",Z80+21)</f>
        <v/>
      </c>
    </row>
    <row r="81" customFormat="false" ht="15" hidden="false" customHeight="false" outlineLevel="0" collapsed="false">
      <c r="A81" s="10"/>
      <c r="B81" s="10"/>
      <c r="C81" s="12"/>
      <c r="D81" s="12"/>
      <c r="E81" s="10"/>
      <c r="F81" s="11"/>
      <c r="G81" s="10"/>
      <c r="H81" s="10"/>
      <c r="I81" s="11"/>
      <c r="J81" s="11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  <c r="W81" s="14" t="str">
        <f aca="false">IF(D81="","",D81-使用说明!$B$20)</f>
        <v/>
      </c>
      <c r="X81" s="14" t="str">
        <f aca="false">IF(D81="","",D81-使用说明!$B$21)</f>
        <v/>
      </c>
      <c r="Y81" s="14" t="str">
        <f aca="false">IF(D81="","",D81-使用说明!$B$22)</f>
        <v/>
      </c>
      <c r="Z81" s="12"/>
      <c r="AA81" s="14" t="str">
        <f aca="false">IF(Z81="","",Z81+21)</f>
        <v/>
      </c>
    </row>
    <row r="82" customFormat="false" ht="15" hidden="false" customHeight="false" outlineLevel="0" collapsed="false">
      <c r="A82" s="10"/>
      <c r="B82" s="10"/>
      <c r="C82" s="12"/>
      <c r="D82" s="12"/>
      <c r="E82" s="10"/>
      <c r="F82" s="11"/>
      <c r="G82" s="10"/>
      <c r="H82" s="10"/>
      <c r="I82" s="11"/>
      <c r="J82" s="11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  <c r="W82" s="14" t="str">
        <f aca="false">IF(D82="","",D82-使用说明!$B$20)</f>
        <v/>
      </c>
      <c r="X82" s="14" t="str">
        <f aca="false">IF(D82="","",D82-使用说明!$B$21)</f>
        <v/>
      </c>
      <c r="Y82" s="14" t="str">
        <f aca="false">IF(D82="","",D82-使用说明!$B$22)</f>
        <v/>
      </c>
      <c r="Z82" s="12"/>
      <c r="AA82" s="14" t="str">
        <f aca="false">IF(Z82="","",Z82+21)</f>
        <v/>
      </c>
    </row>
    <row r="83" customFormat="false" ht="15" hidden="false" customHeight="false" outlineLevel="0" collapsed="false">
      <c r="A83" s="10"/>
      <c r="B83" s="10"/>
      <c r="C83" s="12"/>
      <c r="D83" s="12"/>
      <c r="E83" s="10"/>
      <c r="F83" s="11"/>
      <c r="G83" s="10"/>
      <c r="H83" s="10"/>
      <c r="I83" s="11"/>
      <c r="J83" s="11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  <c r="W83" s="14" t="str">
        <f aca="false">IF(D83="","",D83-使用说明!$B$20)</f>
        <v/>
      </c>
      <c r="X83" s="14" t="str">
        <f aca="false">IF(D83="","",D83-使用说明!$B$21)</f>
        <v/>
      </c>
      <c r="Y83" s="14" t="str">
        <f aca="false">IF(D83="","",D83-使用说明!$B$22)</f>
        <v/>
      </c>
      <c r="Z83" s="12"/>
      <c r="AA83" s="14" t="str">
        <f aca="false">IF(Z83="","",Z83+21)</f>
        <v/>
      </c>
    </row>
    <row r="84" customFormat="false" ht="15" hidden="false" customHeight="false" outlineLevel="0" collapsed="false">
      <c r="A84" s="10"/>
      <c r="B84" s="10"/>
      <c r="C84" s="12"/>
      <c r="D84" s="12"/>
      <c r="E84" s="10"/>
      <c r="F84" s="11"/>
      <c r="G84" s="10"/>
      <c r="H84" s="10"/>
      <c r="I84" s="11"/>
      <c r="J84" s="11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  <c r="W84" s="14" t="str">
        <f aca="false">IF(D84="","",D84-使用说明!$B$20)</f>
        <v/>
      </c>
      <c r="X84" s="14" t="str">
        <f aca="false">IF(D84="","",D84-使用说明!$B$21)</f>
        <v/>
      </c>
      <c r="Y84" s="14" t="str">
        <f aca="false">IF(D84="","",D84-使用说明!$B$22)</f>
        <v/>
      </c>
      <c r="Z84" s="12"/>
      <c r="AA84" s="14" t="str">
        <f aca="false">IF(Z84="","",Z84+21)</f>
        <v/>
      </c>
    </row>
    <row r="85" customFormat="false" ht="15" hidden="false" customHeight="false" outlineLevel="0" collapsed="false">
      <c r="A85" s="10"/>
      <c r="B85" s="10"/>
      <c r="C85" s="12"/>
      <c r="D85" s="12"/>
      <c r="E85" s="10"/>
      <c r="F85" s="11"/>
      <c r="G85" s="10"/>
      <c r="H85" s="10"/>
      <c r="I85" s="11"/>
      <c r="J85" s="11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  <c r="W85" s="14" t="str">
        <f aca="false">IF(D85="","",D85-使用说明!$B$20)</f>
        <v/>
      </c>
      <c r="X85" s="14" t="str">
        <f aca="false">IF(D85="","",D85-使用说明!$B$21)</f>
        <v/>
      </c>
      <c r="Y85" s="14" t="str">
        <f aca="false">IF(D85="","",D85-使用说明!$B$22)</f>
        <v/>
      </c>
      <c r="Z85" s="12"/>
      <c r="AA85" s="14" t="str">
        <f aca="false">IF(Z85="","",Z85+21)</f>
        <v/>
      </c>
    </row>
    <row r="86" customFormat="false" ht="15" hidden="false" customHeight="false" outlineLevel="0" collapsed="false">
      <c r="A86" s="10"/>
      <c r="B86" s="10"/>
      <c r="C86" s="12"/>
      <c r="D86" s="12"/>
      <c r="E86" s="10"/>
      <c r="F86" s="11"/>
      <c r="G86" s="10"/>
      <c r="H86" s="10"/>
      <c r="I86" s="11"/>
      <c r="J86" s="11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  <c r="W86" s="14" t="str">
        <f aca="false">IF(D86="","",D86-使用说明!$B$20)</f>
        <v/>
      </c>
      <c r="X86" s="14" t="str">
        <f aca="false">IF(D86="","",D86-使用说明!$B$21)</f>
        <v/>
      </c>
      <c r="Y86" s="14" t="str">
        <f aca="false">IF(D86="","",D86-使用说明!$B$22)</f>
        <v/>
      </c>
      <c r="Z86" s="12"/>
      <c r="AA86" s="14" t="str">
        <f aca="false">IF(Z86="","",Z86+21)</f>
        <v/>
      </c>
    </row>
    <row r="87" customFormat="false" ht="15" hidden="false" customHeight="false" outlineLevel="0" collapsed="false">
      <c r="A87" s="10"/>
      <c r="B87" s="10"/>
      <c r="C87" s="12"/>
      <c r="D87" s="12"/>
      <c r="E87" s="10"/>
      <c r="F87" s="11"/>
      <c r="G87" s="10"/>
      <c r="H87" s="10"/>
      <c r="I87" s="11"/>
      <c r="J87" s="11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  <c r="W87" s="14" t="str">
        <f aca="false">IF(D87="","",D87-使用说明!$B$20)</f>
        <v/>
      </c>
      <c r="X87" s="14" t="str">
        <f aca="false">IF(D87="","",D87-使用说明!$B$21)</f>
        <v/>
      </c>
      <c r="Y87" s="14" t="str">
        <f aca="false">IF(D87="","",D87-使用说明!$B$22)</f>
        <v/>
      </c>
      <c r="Z87" s="12"/>
      <c r="AA87" s="14" t="str">
        <f aca="false">IF(Z87="","",Z87+21)</f>
        <v/>
      </c>
    </row>
    <row r="88" customFormat="false" ht="15" hidden="false" customHeight="false" outlineLevel="0" collapsed="false">
      <c r="A88" s="10"/>
      <c r="B88" s="10"/>
      <c r="C88" s="12"/>
      <c r="D88" s="12"/>
      <c r="E88" s="10"/>
      <c r="F88" s="11"/>
      <c r="G88" s="10"/>
      <c r="H88" s="10"/>
      <c r="I88" s="11"/>
      <c r="J88" s="11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  <c r="W88" s="14" t="str">
        <f aca="false">IF(D88="","",D88-使用说明!$B$20)</f>
        <v/>
      </c>
      <c r="X88" s="14" t="str">
        <f aca="false">IF(D88="","",D88-使用说明!$B$21)</f>
        <v/>
      </c>
      <c r="Y88" s="14" t="str">
        <f aca="false">IF(D88="","",D88-使用说明!$B$22)</f>
        <v/>
      </c>
      <c r="Z88" s="12"/>
      <c r="AA88" s="14" t="str">
        <f aca="false">IF(Z88="","",Z88+21)</f>
        <v/>
      </c>
    </row>
    <row r="89" customFormat="false" ht="15" hidden="false" customHeight="false" outlineLevel="0" collapsed="false">
      <c r="A89" s="10"/>
      <c r="B89" s="10"/>
      <c r="C89" s="12"/>
      <c r="D89" s="12"/>
      <c r="E89" s="10"/>
      <c r="F89" s="11"/>
      <c r="G89" s="10"/>
      <c r="H89" s="10"/>
      <c r="I89" s="11"/>
      <c r="J89" s="11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  <c r="W89" s="14" t="str">
        <f aca="false">IF(D89="","",D89-使用说明!$B$20)</f>
        <v/>
      </c>
      <c r="X89" s="14" t="str">
        <f aca="false">IF(D89="","",D89-使用说明!$B$21)</f>
        <v/>
      </c>
      <c r="Y89" s="14" t="str">
        <f aca="false">IF(D89="","",D89-使用说明!$B$22)</f>
        <v/>
      </c>
      <c r="Z89" s="12"/>
      <c r="AA89" s="14" t="str">
        <f aca="false">IF(Z89="","",Z89+21)</f>
        <v/>
      </c>
    </row>
    <row r="90" customFormat="false" ht="15" hidden="false" customHeight="false" outlineLevel="0" collapsed="false">
      <c r="A90" s="10"/>
      <c r="B90" s="10"/>
      <c r="C90" s="12"/>
      <c r="D90" s="12"/>
      <c r="E90" s="10"/>
      <c r="F90" s="11"/>
      <c r="G90" s="10"/>
      <c r="H90" s="10"/>
      <c r="I90" s="11"/>
      <c r="J90" s="11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  <c r="W90" s="14" t="str">
        <f aca="false">IF(D90="","",D90-使用说明!$B$20)</f>
        <v/>
      </c>
      <c r="X90" s="14" t="str">
        <f aca="false">IF(D90="","",D90-使用说明!$B$21)</f>
        <v/>
      </c>
      <c r="Y90" s="14" t="str">
        <f aca="false">IF(D90="","",D90-使用说明!$B$22)</f>
        <v/>
      </c>
      <c r="Z90" s="12"/>
      <c r="AA90" s="14" t="str">
        <f aca="false">IF(Z90="","",Z90+21)</f>
        <v/>
      </c>
    </row>
    <row r="91" customFormat="false" ht="15" hidden="false" customHeight="false" outlineLevel="0" collapsed="false">
      <c r="A91" s="10"/>
      <c r="B91" s="10"/>
      <c r="C91" s="12"/>
      <c r="D91" s="12"/>
      <c r="E91" s="10"/>
      <c r="F91" s="11"/>
      <c r="G91" s="10"/>
      <c r="H91" s="10"/>
      <c r="I91" s="11"/>
      <c r="J91" s="11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  <c r="W91" s="14" t="str">
        <f aca="false">IF(D91="","",D91-使用说明!$B$20)</f>
        <v/>
      </c>
      <c r="X91" s="14" t="str">
        <f aca="false">IF(D91="","",D91-使用说明!$B$21)</f>
        <v/>
      </c>
      <c r="Y91" s="14" t="str">
        <f aca="false">IF(D91="","",D91-使用说明!$B$22)</f>
        <v/>
      </c>
      <c r="Z91" s="12"/>
      <c r="AA91" s="14" t="str">
        <f aca="false">IF(Z91="","",Z91+21)</f>
        <v/>
      </c>
    </row>
    <row r="92" customFormat="false" ht="15" hidden="false" customHeight="false" outlineLevel="0" collapsed="false">
      <c r="A92" s="10"/>
      <c r="B92" s="10"/>
      <c r="C92" s="12"/>
      <c r="D92" s="12"/>
      <c r="E92" s="10"/>
      <c r="F92" s="11"/>
      <c r="G92" s="10"/>
      <c r="H92" s="10"/>
      <c r="I92" s="11"/>
      <c r="J92" s="11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  <c r="W92" s="14" t="str">
        <f aca="false">IF(D92="","",D92-使用说明!$B$20)</f>
        <v/>
      </c>
      <c r="X92" s="14" t="str">
        <f aca="false">IF(D92="","",D92-使用说明!$B$21)</f>
        <v/>
      </c>
      <c r="Y92" s="14" t="str">
        <f aca="false">IF(D92="","",D92-使用说明!$B$22)</f>
        <v/>
      </c>
      <c r="Z92" s="12"/>
      <c r="AA92" s="14" t="str">
        <f aca="false">IF(Z92="","",Z92+21)</f>
        <v/>
      </c>
    </row>
    <row r="93" customFormat="false" ht="15" hidden="false" customHeight="false" outlineLevel="0" collapsed="false">
      <c r="A93" s="10"/>
      <c r="B93" s="10"/>
      <c r="C93" s="12"/>
      <c r="D93" s="12"/>
      <c r="E93" s="10"/>
      <c r="F93" s="11"/>
      <c r="G93" s="10"/>
      <c r="H93" s="10"/>
      <c r="I93" s="11"/>
      <c r="J93" s="11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  <c r="W93" s="14" t="str">
        <f aca="false">IF(D93="","",D93-使用说明!$B$20)</f>
        <v/>
      </c>
      <c r="X93" s="14" t="str">
        <f aca="false">IF(D93="","",D93-使用说明!$B$21)</f>
        <v/>
      </c>
      <c r="Y93" s="14" t="str">
        <f aca="false">IF(D93="","",D93-使用说明!$B$22)</f>
        <v/>
      </c>
      <c r="Z93" s="12"/>
      <c r="AA93" s="14" t="str">
        <f aca="false">IF(Z93="","",Z93+21)</f>
        <v/>
      </c>
    </row>
    <row r="94" customFormat="false" ht="15" hidden="false" customHeight="false" outlineLevel="0" collapsed="false">
      <c r="A94" s="10"/>
      <c r="B94" s="10"/>
      <c r="C94" s="12"/>
      <c r="D94" s="12"/>
      <c r="E94" s="10"/>
      <c r="F94" s="11"/>
      <c r="G94" s="10"/>
      <c r="H94" s="10"/>
      <c r="I94" s="11"/>
      <c r="J94" s="11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  <c r="W94" s="14" t="str">
        <f aca="false">IF(D94="","",D94-使用说明!$B$20)</f>
        <v/>
      </c>
      <c r="X94" s="14" t="str">
        <f aca="false">IF(D94="","",D94-使用说明!$B$21)</f>
        <v/>
      </c>
      <c r="Y94" s="14" t="str">
        <f aca="false">IF(D94="","",D94-使用说明!$B$22)</f>
        <v/>
      </c>
      <c r="Z94" s="12"/>
      <c r="AA94" s="14" t="str">
        <f aca="false">IF(Z94="","",Z94+21)</f>
        <v/>
      </c>
    </row>
    <row r="95" customFormat="false" ht="15" hidden="false" customHeight="false" outlineLevel="0" collapsed="false">
      <c r="A95" s="10"/>
      <c r="B95" s="10"/>
      <c r="C95" s="12"/>
      <c r="D95" s="12"/>
      <c r="E95" s="10"/>
      <c r="F95" s="11"/>
      <c r="G95" s="10"/>
      <c r="H95" s="10"/>
      <c r="I95" s="11"/>
      <c r="J95" s="11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  <c r="W95" s="14" t="str">
        <f aca="false">IF(D95="","",D95-使用说明!$B$20)</f>
        <v/>
      </c>
      <c r="X95" s="14" t="str">
        <f aca="false">IF(D95="","",D95-使用说明!$B$21)</f>
        <v/>
      </c>
      <c r="Y95" s="14" t="str">
        <f aca="false">IF(D95="","",D95-使用说明!$B$22)</f>
        <v/>
      </c>
      <c r="Z95" s="12"/>
      <c r="AA95" s="14" t="str">
        <f aca="false">IF(Z95="","",Z95+21)</f>
        <v/>
      </c>
    </row>
    <row r="96" customFormat="false" ht="15" hidden="false" customHeight="false" outlineLevel="0" collapsed="false">
      <c r="A96" s="10"/>
      <c r="B96" s="10"/>
      <c r="C96" s="12"/>
      <c r="D96" s="12"/>
      <c r="E96" s="10"/>
      <c r="F96" s="11"/>
      <c r="G96" s="10"/>
      <c r="H96" s="10"/>
      <c r="I96" s="11"/>
      <c r="J96" s="11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  <c r="W96" s="14" t="str">
        <f aca="false">IF(D96="","",D96-使用说明!$B$20)</f>
        <v/>
      </c>
      <c r="X96" s="14" t="str">
        <f aca="false">IF(D96="","",D96-使用说明!$B$21)</f>
        <v/>
      </c>
      <c r="Y96" s="14" t="str">
        <f aca="false">IF(D96="","",D96-使用说明!$B$22)</f>
        <v/>
      </c>
      <c r="Z96" s="12"/>
      <c r="AA96" s="14" t="str">
        <f aca="false">IF(Z96="","",Z96+21)</f>
        <v/>
      </c>
    </row>
    <row r="97" customFormat="false" ht="15" hidden="false" customHeight="false" outlineLevel="0" collapsed="false">
      <c r="A97" s="10"/>
      <c r="B97" s="10"/>
      <c r="C97" s="12"/>
      <c r="D97" s="12"/>
      <c r="E97" s="10"/>
      <c r="F97" s="11"/>
      <c r="G97" s="10"/>
      <c r="H97" s="10"/>
      <c r="I97" s="11"/>
      <c r="J97" s="11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  <c r="W97" s="14" t="str">
        <f aca="false">IF(D97="","",D97-使用说明!$B$20)</f>
        <v/>
      </c>
      <c r="X97" s="14" t="str">
        <f aca="false">IF(D97="","",D97-使用说明!$B$21)</f>
        <v/>
      </c>
      <c r="Y97" s="14" t="str">
        <f aca="false">IF(D97="","",D97-使用说明!$B$22)</f>
        <v/>
      </c>
      <c r="Z97" s="12"/>
      <c r="AA97" s="14" t="str">
        <f aca="false">IF(Z97="","",Z97+21)</f>
        <v/>
      </c>
    </row>
    <row r="98" customFormat="false" ht="15" hidden="false" customHeight="false" outlineLevel="0" collapsed="false">
      <c r="A98" s="10"/>
      <c r="B98" s="10"/>
      <c r="C98" s="12"/>
      <c r="D98" s="12"/>
      <c r="E98" s="10"/>
      <c r="F98" s="11"/>
      <c r="G98" s="10"/>
      <c r="H98" s="10"/>
      <c r="I98" s="11"/>
      <c r="J98" s="11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  <c r="W98" s="14" t="str">
        <f aca="false">IF(D98="","",D98-使用说明!$B$20)</f>
        <v/>
      </c>
      <c r="X98" s="14" t="str">
        <f aca="false">IF(D98="","",D98-使用说明!$B$21)</f>
        <v/>
      </c>
      <c r="Y98" s="14" t="str">
        <f aca="false">IF(D98="","",D98-使用说明!$B$22)</f>
        <v/>
      </c>
      <c r="Z98" s="12"/>
      <c r="AA98" s="14" t="str">
        <f aca="false">IF(Z98="","",Z98+21)</f>
        <v/>
      </c>
    </row>
    <row r="99" customFormat="false" ht="15" hidden="false" customHeight="false" outlineLevel="0" collapsed="false">
      <c r="A99" s="10"/>
      <c r="B99" s="10"/>
      <c r="C99" s="12"/>
      <c r="D99" s="12"/>
      <c r="E99" s="10"/>
      <c r="F99" s="11"/>
      <c r="G99" s="10"/>
      <c r="H99" s="10"/>
      <c r="I99" s="11"/>
      <c r="J99" s="11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  <c r="W99" s="14" t="str">
        <f aca="false">IF(D99="","",D99-使用说明!$B$20)</f>
        <v/>
      </c>
      <c r="X99" s="14" t="str">
        <f aca="false">IF(D99="","",D99-使用说明!$B$21)</f>
        <v/>
      </c>
      <c r="Y99" s="14" t="str">
        <f aca="false">IF(D99="","",D99-使用说明!$B$22)</f>
        <v/>
      </c>
      <c r="Z99" s="12"/>
      <c r="AA99" s="14" t="str">
        <f aca="false">IF(Z99="","",Z99+21)</f>
        <v/>
      </c>
    </row>
    <row r="100" customFormat="false" ht="15" hidden="false" customHeight="false" outlineLevel="0" collapsed="false">
      <c r="A100" s="10"/>
      <c r="B100" s="10"/>
      <c r="C100" s="12"/>
      <c r="D100" s="12"/>
      <c r="E100" s="10"/>
      <c r="F100" s="11"/>
      <c r="G100" s="10"/>
      <c r="H100" s="10"/>
      <c r="I100" s="11"/>
      <c r="J100" s="11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  <c r="W100" s="14" t="str">
        <f aca="false">IF(D100="","",D100-使用说明!$B$20)</f>
        <v/>
      </c>
      <c r="X100" s="14" t="str">
        <f aca="false">IF(D100="","",D100-使用说明!$B$21)</f>
        <v/>
      </c>
      <c r="Y100" s="14" t="str">
        <f aca="false">IF(D100="","",D100-使用说明!$B$22)</f>
        <v/>
      </c>
      <c r="Z100" s="12"/>
      <c r="AA100" s="14" t="str">
        <f aca="false">IF(Z100="","",Z100+21)</f>
        <v/>
      </c>
    </row>
    <row r="101" customFormat="false" ht="15" hidden="false" customHeight="false" outlineLevel="0" collapsed="false">
      <c r="A101" s="10"/>
      <c r="B101" s="10"/>
      <c r="C101" s="12"/>
      <c r="D101" s="12"/>
      <c r="E101" s="10"/>
      <c r="F101" s="11"/>
      <c r="G101" s="10"/>
      <c r="H101" s="10"/>
      <c r="I101" s="11"/>
      <c r="J101" s="11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  <c r="W101" s="14" t="str">
        <f aca="false">IF(D101="","",D101-使用说明!$B$20)</f>
        <v/>
      </c>
      <c r="X101" s="14" t="str">
        <f aca="false">IF(D101="","",D101-使用说明!$B$21)</f>
        <v/>
      </c>
      <c r="Y101" s="14" t="str">
        <f aca="false">IF(D101="","",D101-使用说明!$B$22)</f>
        <v/>
      </c>
      <c r="Z101" s="12"/>
      <c r="AA101" s="14" t="str">
        <f aca="false">IF(Z101="","",Z101+21)</f>
        <v/>
      </c>
    </row>
    <row r="102" customFormat="false" ht="15" hidden="false" customHeight="false" outlineLevel="0" collapsed="false">
      <c r="A102" s="10"/>
      <c r="B102" s="10"/>
      <c r="C102" s="12"/>
      <c r="D102" s="12"/>
      <c r="E102" s="10"/>
      <c r="F102" s="11"/>
      <c r="G102" s="10"/>
      <c r="H102" s="10"/>
      <c r="I102" s="11"/>
      <c r="J102" s="11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  <c r="W102" s="14" t="str">
        <f aca="false">IF(D102="","",D102-使用说明!$B$20)</f>
        <v/>
      </c>
      <c r="X102" s="14" t="str">
        <f aca="false">IF(D102="","",D102-使用说明!$B$21)</f>
        <v/>
      </c>
      <c r="Y102" s="14" t="str">
        <f aca="false">IF(D102="","",D102-使用说明!$B$22)</f>
        <v/>
      </c>
      <c r="Z102" s="12"/>
      <c r="AA102" s="14" t="str">
        <f aca="false">IF(Z102="","",Z102+21)</f>
        <v/>
      </c>
    </row>
    <row r="103" customFormat="false" ht="15" hidden="false" customHeight="false" outlineLevel="0" collapsed="false">
      <c r="A103" s="10"/>
      <c r="B103" s="10"/>
      <c r="C103" s="12"/>
      <c r="D103" s="12"/>
      <c r="E103" s="10"/>
      <c r="F103" s="11"/>
      <c r="G103" s="10"/>
      <c r="H103" s="10"/>
      <c r="I103" s="11"/>
      <c r="J103" s="11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  <c r="W103" s="14" t="str">
        <f aca="false">IF(D103="","",D103-使用说明!$B$20)</f>
        <v/>
      </c>
      <c r="X103" s="14" t="str">
        <f aca="false">IF(D103="","",D103-使用说明!$B$21)</f>
        <v/>
      </c>
      <c r="Y103" s="14" t="str">
        <f aca="false">IF(D103="","",D103-使用说明!$B$22)</f>
        <v/>
      </c>
      <c r="Z103" s="12"/>
      <c r="AA103" s="14" t="str">
        <f aca="false">IF(Z103="","",Z103+21)</f>
        <v/>
      </c>
    </row>
    <row r="104" customFormat="false" ht="15" hidden="false" customHeight="false" outlineLevel="0" collapsed="false">
      <c r="A104" s="10"/>
      <c r="B104" s="10"/>
      <c r="C104" s="12"/>
      <c r="D104" s="12"/>
      <c r="E104" s="10"/>
      <c r="F104" s="11"/>
      <c r="G104" s="10"/>
      <c r="H104" s="10"/>
      <c r="I104" s="11"/>
      <c r="J104" s="11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  <c r="W104" s="14" t="str">
        <f aca="false">IF(D104="","",D104-使用说明!$B$20)</f>
        <v/>
      </c>
      <c r="X104" s="14" t="str">
        <f aca="false">IF(D104="","",D104-使用说明!$B$21)</f>
        <v/>
      </c>
      <c r="Y104" s="14" t="str">
        <f aca="false">IF(D104="","",D104-使用说明!$B$22)</f>
        <v/>
      </c>
      <c r="Z104" s="12"/>
      <c r="AA104" s="14" t="str">
        <f aca="false">IF(Z104="","",Z104+21)</f>
        <v/>
      </c>
    </row>
    <row r="105" customFormat="false" ht="15" hidden="false" customHeight="false" outlineLevel="0" collapsed="false">
      <c r="A105" s="10"/>
      <c r="B105" s="10"/>
      <c r="C105" s="12"/>
      <c r="D105" s="12"/>
      <c r="E105" s="10"/>
      <c r="F105" s="11"/>
      <c r="G105" s="10"/>
      <c r="H105" s="10"/>
      <c r="I105" s="11"/>
      <c r="J105" s="11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  <c r="W105" s="14" t="str">
        <f aca="false">IF(D105="","",D105-使用说明!$B$20)</f>
        <v/>
      </c>
      <c r="X105" s="14" t="str">
        <f aca="false">IF(D105="","",D105-使用说明!$B$21)</f>
        <v/>
      </c>
      <c r="Y105" s="14" t="str">
        <f aca="false">IF(D105="","",D105-使用说明!$B$22)</f>
        <v/>
      </c>
      <c r="Z105" s="12"/>
      <c r="AA105" s="14" t="str">
        <f aca="false">IF(Z105="","",Z105+21)</f>
        <v/>
      </c>
    </row>
    <row r="106" customFormat="false" ht="15" hidden="false" customHeight="false" outlineLevel="0" collapsed="false">
      <c r="A106" s="10"/>
      <c r="B106" s="10"/>
      <c r="C106" s="12"/>
      <c r="D106" s="12"/>
      <c r="E106" s="10"/>
      <c r="F106" s="11"/>
      <c r="G106" s="10"/>
      <c r="H106" s="10"/>
      <c r="I106" s="11"/>
      <c r="J106" s="11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  <c r="W106" s="14" t="str">
        <f aca="false">IF(D106="","",D106-使用说明!$B$20)</f>
        <v/>
      </c>
      <c r="X106" s="14" t="str">
        <f aca="false">IF(D106="","",D106-使用说明!$B$21)</f>
        <v/>
      </c>
      <c r="Y106" s="14" t="str">
        <f aca="false">IF(D106="","",D106-使用说明!$B$22)</f>
        <v/>
      </c>
      <c r="Z106" s="12"/>
      <c r="AA106" s="14" t="str">
        <f aca="false">IF(Z106="","",Z106+21)</f>
        <v/>
      </c>
    </row>
    <row r="107" customFormat="false" ht="15" hidden="false" customHeight="false" outlineLevel="0" collapsed="false">
      <c r="A107" s="10"/>
      <c r="B107" s="10"/>
      <c r="C107" s="12"/>
      <c r="D107" s="12"/>
      <c r="E107" s="10"/>
      <c r="F107" s="11"/>
      <c r="G107" s="10"/>
      <c r="H107" s="10"/>
      <c r="I107" s="11"/>
      <c r="J107" s="11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  <c r="W107" s="14" t="str">
        <f aca="false">IF(D107="","",D107-使用说明!$B$20)</f>
        <v/>
      </c>
      <c r="X107" s="14" t="str">
        <f aca="false">IF(D107="","",D107-使用说明!$B$21)</f>
        <v/>
      </c>
      <c r="Y107" s="14" t="str">
        <f aca="false">IF(D107="","",D107-使用说明!$B$22)</f>
        <v/>
      </c>
      <c r="Z107" s="12"/>
      <c r="AA107" s="14" t="str">
        <f aca="false">IF(Z107="","",Z107+21)</f>
        <v/>
      </c>
    </row>
    <row r="108" customFormat="false" ht="15" hidden="false" customHeight="false" outlineLevel="0" collapsed="false">
      <c r="A108" s="10"/>
      <c r="B108" s="10"/>
      <c r="C108" s="12"/>
      <c r="D108" s="12"/>
      <c r="E108" s="10"/>
      <c r="F108" s="11"/>
      <c r="G108" s="10"/>
      <c r="H108" s="10"/>
      <c r="I108" s="11"/>
      <c r="J108" s="11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  <c r="W108" s="14" t="str">
        <f aca="false">IF(D108="","",D108-使用说明!$B$20)</f>
        <v/>
      </c>
      <c r="X108" s="14" t="str">
        <f aca="false">IF(D108="","",D108-使用说明!$B$21)</f>
        <v/>
      </c>
      <c r="Y108" s="14" t="str">
        <f aca="false">IF(D108="","",D108-使用说明!$B$22)</f>
        <v/>
      </c>
      <c r="Z108" s="12"/>
      <c r="AA108" s="14" t="str">
        <f aca="false">IF(Z108="","",Z108+21)</f>
        <v/>
      </c>
    </row>
    <row r="109" customFormat="false" ht="15" hidden="false" customHeight="false" outlineLevel="0" collapsed="false">
      <c r="A109" s="10"/>
      <c r="B109" s="10"/>
      <c r="C109" s="12"/>
      <c r="D109" s="12"/>
      <c r="E109" s="10"/>
      <c r="F109" s="11"/>
      <c r="G109" s="10"/>
      <c r="H109" s="10"/>
      <c r="I109" s="11"/>
      <c r="J109" s="11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  <c r="W109" s="14" t="str">
        <f aca="false">IF(D109="","",D109-使用说明!$B$20)</f>
        <v/>
      </c>
      <c r="X109" s="14" t="str">
        <f aca="false">IF(D109="","",D109-使用说明!$B$21)</f>
        <v/>
      </c>
      <c r="Y109" s="14" t="str">
        <f aca="false">IF(D109="","",D109-使用说明!$B$22)</f>
        <v/>
      </c>
      <c r="Z109" s="12"/>
      <c r="AA109" s="14" t="str">
        <f aca="false">IF(Z109="","",Z109+21)</f>
        <v/>
      </c>
    </row>
    <row r="110" customFormat="false" ht="15" hidden="false" customHeight="false" outlineLevel="0" collapsed="false">
      <c r="A110" s="10"/>
      <c r="B110" s="10"/>
      <c r="C110" s="12"/>
      <c r="D110" s="12"/>
      <c r="E110" s="10"/>
      <c r="F110" s="11"/>
      <c r="G110" s="10"/>
      <c r="H110" s="10"/>
      <c r="I110" s="11"/>
      <c r="J110" s="11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  <c r="W110" s="14" t="str">
        <f aca="false">IF(D110="","",D110-使用说明!$B$20)</f>
        <v/>
      </c>
      <c r="X110" s="14" t="str">
        <f aca="false">IF(D110="","",D110-使用说明!$B$21)</f>
        <v/>
      </c>
      <c r="Y110" s="14" t="str">
        <f aca="false">IF(D110="","",D110-使用说明!$B$22)</f>
        <v/>
      </c>
      <c r="Z110" s="12"/>
      <c r="AA110" s="14" t="str">
        <f aca="false">IF(Z110="","",Z110+21)</f>
        <v/>
      </c>
    </row>
    <row r="111" customFormat="false" ht="15" hidden="false" customHeight="false" outlineLevel="0" collapsed="false">
      <c r="A111" s="10"/>
      <c r="B111" s="10"/>
      <c r="C111" s="12"/>
      <c r="D111" s="12"/>
      <c r="E111" s="10"/>
      <c r="F111" s="11"/>
      <c r="G111" s="10"/>
      <c r="H111" s="10"/>
      <c r="I111" s="11"/>
      <c r="J111" s="11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  <c r="W111" s="14" t="str">
        <f aca="false">IF(D111="","",D111-使用说明!$B$20)</f>
        <v/>
      </c>
      <c r="X111" s="14" t="str">
        <f aca="false">IF(D111="","",D111-使用说明!$B$21)</f>
        <v/>
      </c>
      <c r="Y111" s="14" t="str">
        <f aca="false">IF(D111="","",D111-使用说明!$B$22)</f>
        <v/>
      </c>
      <c r="Z111" s="12"/>
      <c r="AA111" s="14" t="str">
        <f aca="false">IF(Z111="","",Z111+21)</f>
        <v/>
      </c>
    </row>
    <row r="112" customFormat="false" ht="15" hidden="false" customHeight="false" outlineLevel="0" collapsed="false">
      <c r="A112" s="10"/>
      <c r="B112" s="10"/>
      <c r="C112" s="12"/>
      <c r="D112" s="12"/>
      <c r="E112" s="10"/>
      <c r="F112" s="11"/>
      <c r="G112" s="10"/>
      <c r="H112" s="10"/>
      <c r="I112" s="11"/>
      <c r="J112" s="11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  <c r="W112" s="14" t="str">
        <f aca="false">IF(D112="","",D112-使用说明!$B$20)</f>
        <v/>
      </c>
      <c r="X112" s="14" t="str">
        <f aca="false">IF(D112="","",D112-使用说明!$B$21)</f>
        <v/>
      </c>
      <c r="Y112" s="14" t="str">
        <f aca="false">IF(D112="","",D112-使用说明!$B$22)</f>
        <v/>
      </c>
      <c r="Z112" s="12"/>
      <c r="AA112" s="14" t="str">
        <f aca="false">IF(Z112="","",Z112+21)</f>
        <v/>
      </c>
    </row>
    <row r="113" customFormat="false" ht="15" hidden="false" customHeight="false" outlineLevel="0" collapsed="false">
      <c r="A113" s="10"/>
      <c r="B113" s="10"/>
      <c r="C113" s="12"/>
      <c r="D113" s="12"/>
      <c r="E113" s="10"/>
      <c r="F113" s="11"/>
      <c r="G113" s="10"/>
      <c r="H113" s="10"/>
      <c r="I113" s="11"/>
      <c r="J113" s="11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  <c r="W113" s="14" t="str">
        <f aca="false">IF(D113="","",D113-使用说明!$B$20)</f>
        <v/>
      </c>
      <c r="X113" s="14" t="str">
        <f aca="false">IF(D113="","",D113-使用说明!$B$21)</f>
        <v/>
      </c>
      <c r="Y113" s="14" t="str">
        <f aca="false">IF(D113="","",D113-使用说明!$B$22)</f>
        <v/>
      </c>
      <c r="Z113" s="12"/>
      <c r="AA113" s="14" t="str">
        <f aca="false">IF(Z113="","",Z113+21)</f>
        <v/>
      </c>
    </row>
    <row r="114" customFormat="false" ht="15" hidden="false" customHeight="false" outlineLevel="0" collapsed="false">
      <c r="A114" s="10"/>
      <c r="B114" s="10"/>
      <c r="C114" s="12"/>
      <c r="D114" s="12"/>
      <c r="E114" s="10"/>
      <c r="F114" s="11"/>
      <c r="G114" s="10"/>
      <c r="H114" s="10"/>
      <c r="I114" s="11"/>
      <c r="J114" s="11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  <c r="W114" s="14" t="str">
        <f aca="false">IF(D114="","",D114-使用说明!$B$20)</f>
        <v/>
      </c>
      <c r="X114" s="14" t="str">
        <f aca="false">IF(D114="","",D114-使用说明!$B$21)</f>
        <v/>
      </c>
      <c r="Y114" s="14" t="str">
        <f aca="false">IF(D114="","",D114-使用说明!$B$22)</f>
        <v/>
      </c>
      <c r="Z114" s="12"/>
      <c r="AA114" s="14" t="str">
        <f aca="false">IF(Z114="","",Z114+21)</f>
        <v/>
      </c>
    </row>
    <row r="115" customFormat="false" ht="15" hidden="false" customHeight="false" outlineLevel="0" collapsed="false">
      <c r="A115" s="10"/>
      <c r="B115" s="10"/>
      <c r="C115" s="12"/>
      <c r="D115" s="12"/>
      <c r="E115" s="10"/>
      <c r="F115" s="11"/>
      <c r="G115" s="10"/>
      <c r="H115" s="10"/>
      <c r="I115" s="11"/>
      <c r="J115" s="11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  <c r="W115" s="14" t="str">
        <f aca="false">IF(D115="","",D115-使用说明!$B$20)</f>
        <v/>
      </c>
      <c r="X115" s="14" t="str">
        <f aca="false">IF(D115="","",D115-使用说明!$B$21)</f>
        <v/>
      </c>
      <c r="Y115" s="14" t="str">
        <f aca="false">IF(D115="","",D115-使用说明!$B$22)</f>
        <v/>
      </c>
      <c r="Z115" s="12"/>
      <c r="AA115" s="14" t="str">
        <f aca="false">IF(Z115="","",Z115+21)</f>
        <v/>
      </c>
    </row>
    <row r="116" customFormat="false" ht="15" hidden="false" customHeight="false" outlineLevel="0" collapsed="false">
      <c r="A116" s="10"/>
      <c r="B116" s="10"/>
      <c r="C116" s="12"/>
      <c r="D116" s="12"/>
      <c r="E116" s="10"/>
      <c r="F116" s="11"/>
      <c r="G116" s="10"/>
      <c r="H116" s="10"/>
      <c r="I116" s="11"/>
      <c r="J116" s="11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  <c r="W116" s="14" t="str">
        <f aca="false">IF(D116="","",D116-使用说明!$B$20)</f>
        <v/>
      </c>
      <c r="X116" s="14" t="str">
        <f aca="false">IF(D116="","",D116-使用说明!$B$21)</f>
        <v/>
      </c>
      <c r="Y116" s="14" t="str">
        <f aca="false">IF(D116="","",D116-使用说明!$B$22)</f>
        <v/>
      </c>
      <c r="Z116" s="12"/>
      <c r="AA116" s="14" t="str">
        <f aca="false">IF(Z116="","",Z116+21)</f>
        <v/>
      </c>
    </row>
    <row r="117" customFormat="false" ht="15" hidden="false" customHeight="false" outlineLevel="0" collapsed="false">
      <c r="A117" s="10"/>
      <c r="B117" s="10"/>
      <c r="C117" s="12"/>
      <c r="D117" s="12"/>
      <c r="E117" s="10"/>
      <c r="F117" s="11"/>
      <c r="G117" s="10"/>
      <c r="H117" s="10"/>
      <c r="I117" s="11"/>
      <c r="J117" s="11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  <c r="W117" s="14" t="str">
        <f aca="false">IF(D117="","",D117-使用说明!$B$20)</f>
        <v/>
      </c>
      <c r="X117" s="14" t="str">
        <f aca="false">IF(D117="","",D117-使用说明!$B$21)</f>
        <v/>
      </c>
      <c r="Y117" s="14" t="str">
        <f aca="false">IF(D117="","",D117-使用说明!$B$22)</f>
        <v/>
      </c>
      <c r="Z117" s="12"/>
      <c r="AA117" s="14" t="str">
        <f aca="false">IF(Z117="","",Z117+21)</f>
        <v/>
      </c>
    </row>
    <row r="118" customFormat="false" ht="15" hidden="false" customHeight="false" outlineLevel="0" collapsed="false">
      <c r="A118" s="10"/>
      <c r="B118" s="10"/>
      <c r="C118" s="12"/>
      <c r="D118" s="12"/>
      <c r="E118" s="10"/>
      <c r="F118" s="11"/>
      <c r="G118" s="10"/>
      <c r="H118" s="10"/>
      <c r="I118" s="11"/>
      <c r="J118" s="11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  <c r="W118" s="14" t="str">
        <f aca="false">IF(D118="","",D118-使用说明!$B$20)</f>
        <v/>
      </c>
      <c r="X118" s="14" t="str">
        <f aca="false">IF(D118="","",D118-使用说明!$B$21)</f>
        <v/>
      </c>
      <c r="Y118" s="14" t="str">
        <f aca="false">IF(D118="","",D118-使用说明!$B$22)</f>
        <v/>
      </c>
      <c r="Z118" s="12"/>
      <c r="AA118" s="14" t="str">
        <f aca="false">IF(Z118="","",Z118+21)</f>
        <v/>
      </c>
    </row>
    <row r="119" customFormat="false" ht="15" hidden="false" customHeight="false" outlineLevel="0" collapsed="false">
      <c r="A119" s="10"/>
      <c r="B119" s="10"/>
      <c r="C119" s="12"/>
      <c r="D119" s="12"/>
      <c r="E119" s="10"/>
      <c r="F119" s="11"/>
      <c r="G119" s="10"/>
      <c r="H119" s="10"/>
      <c r="I119" s="11"/>
      <c r="J119" s="11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  <c r="W119" s="14" t="str">
        <f aca="false">IF(D119="","",D119-使用说明!$B$20)</f>
        <v/>
      </c>
      <c r="X119" s="14" t="str">
        <f aca="false">IF(D119="","",D119-使用说明!$B$21)</f>
        <v/>
      </c>
      <c r="Y119" s="14" t="str">
        <f aca="false">IF(D119="","",D119-使用说明!$B$22)</f>
        <v/>
      </c>
      <c r="Z119" s="12"/>
      <c r="AA119" s="14" t="str">
        <f aca="false">IF(Z119="","",Z119+21)</f>
        <v/>
      </c>
    </row>
    <row r="120" customFormat="false" ht="15" hidden="false" customHeight="false" outlineLevel="0" collapsed="false">
      <c r="A120" s="10"/>
      <c r="B120" s="10"/>
      <c r="C120" s="12"/>
      <c r="D120" s="12"/>
      <c r="E120" s="10"/>
      <c r="F120" s="11"/>
      <c r="G120" s="10"/>
      <c r="H120" s="10"/>
      <c r="I120" s="11"/>
      <c r="J120" s="11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  <c r="W120" s="14" t="str">
        <f aca="false">IF(D120="","",D120-使用说明!$B$20)</f>
        <v/>
      </c>
      <c r="X120" s="14" t="str">
        <f aca="false">IF(D120="","",D120-使用说明!$B$21)</f>
        <v/>
      </c>
      <c r="Y120" s="14" t="str">
        <f aca="false">IF(D120="","",D120-使用说明!$B$22)</f>
        <v/>
      </c>
      <c r="Z120" s="12"/>
      <c r="AA120" s="14" t="str">
        <f aca="false">IF(Z120="","",Z120+21)</f>
        <v/>
      </c>
    </row>
    <row r="121" customFormat="false" ht="15" hidden="false" customHeight="false" outlineLevel="0" collapsed="false">
      <c r="A121" s="10"/>
      <c r="B121" s="10"/>
      <c r="C121" s="12"/>
      <c r="D121" s="12"/>
      <c r="E121" s="10"/>
      <c r="F121" s="11"/>
      <c r="G121" s="10"/>
      <c r="H121" s="10"/>
      <c r="I121" s="11"/>
      <c r="J121" s="11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  <c r="W121" s="14" t="str">
        <f aca="false">IF(D121="","",D121-使用说明!$B$20)</f>
        <v/>
      </c>
      <c r="X121" s="14" t="str">
        <f aca="false">IF(D121="","",D121-使用说明!$B$21)</f>
        <v/>
      </c>
      <c r="Y121" s="14" t="str">
        <f aca="false">IF(D121="","",D121-使用说明!$B$22)</f>
        <v/>
      </c>
      <c r="Z121" s="12"/>
      <c r="AA121" s="14" t="str">
        <f aca="false">IF(Z121="","",Z121+21)</f>
        <v/>
      </c>
    </row>
    <row r="122" customFormat="false" ht="15" hidden="false" customHeight="false" outlineLevel="0" collapsed="false">
      <c r="A122" s="10"/>
      <c r="B122" s="10"/>
      <c r="C122" s="12"/>
      <c r="D122" s="12"/>
      <c r="E122" s="10"/>
      <c r="F122" s="11"/>
      <c r="G122" s="10"/>
      <c r="H122" s="10"/>
      <c r="I122" s="11"/>
      <c r="J122" s="11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  <c r="W122" s="14" t="str">
        <f aca="false">IF(D122="","",D122-使用说明!$B$20)</f>
        <v/>
      </c>
      <c r="X122" s="14" t="str">
        <f aca="false">IF(D122="","",D122-使用说明!$B$21)</f>
        <v/>
      </c>
      <c r="Y122" s="14" t="str">
        <f aca="false">IF(D122="","",D122-使用说明!$B$22)</f>
        <v/>
      </c>
      <c r="Z122" s="12"/>
      <c r="AA122" s="14" t="str">
        <f aca="false">IF(Z122="","",Z122+21)</f>
        <v/>
      </c>
    </row>
    <row r="123" customFormat="false" ht="15" hidden="false" customHeight="false" outlineLevel="0" collapsed="false">
      <c r="A123" s="10"/>
      <c r="B123" s="10"/>
      <c r="C123" s="12"/>
      <c r="D123" s="12"/>
      <c r="E123" s="10"/>
      <c r="F123" s="11"/>
      <c r="G123" s="10"/>
      <c r="H123" s="10"/>
      <c r="I123" s="11"/>
      <c r="J123" s="11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  <c r="W123" s="14" t="str">
        <f aca="false">IF(D123="","",D123-使用说明!$B$20)</f>
        <v/>
      </c>
      <c r="X123" s="14" t="str">
        <f aca="false">IF(D123="","",D123-使用说明!$B$21)</f>
        <v/>
      </c>
      <c r="Y123" s="14" t="str">
        <f aca="false">IF(D123="","",D123-使用说明!$B$22)</f>
        <v/>
      </c>
      <c r="Z123" s="12"/>
      <c r="AA123" s="14" t="str">
        <f aca="false">IF(Z123="","",Z123+21)</f>
        <v/>
      </c>
    </row>
    <row r="124" customFormat="false" ht="15" hidden="false" customHeight="false" outlineLevel="0" collapsed="false">
      <c r="A124" s="10"/>
      <c r="B124" s="10"/>
      <c r="C124" s="12"/>
      <c r="D124" s="12"/>
      <c r="E124" s="10"/>
      <c r="F124" s="11"/>
      <c r="G124" s="10"/>
      <c r="H124" s="10"/>
      <c r="I124" s="11"/>
      <c r="J124" s="11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  <c r="W124" s="14" t="str">
        <f aca="false">IF(D124="","",D124-使用说明!$B$20)</f>
        <v/>
      </c>
      <c r="X124" s="14" t="str">
        <f aca="false">IF(D124="","",D124-使用说明!$B$21)</f>
        <v/>
      </c>
      <c r="Y124" s="14" t="str">
        <f aca="false">IF(D124="","",D124-使用说明!$B$22)</f>
        <v/>
      </c>
      <c r="Z124" s="12"/>
      <c r="AA124" s="14" t="str">
        <f aca="false">IF(Z124="","",Z124+21)</f>
        <v/>
      </c>
    </row>
    <row r="125" customFormat="false" ht="15" hidden="false" customHeight="false" outlineLevel="0" collapsed="false">
      <c r="A125" s="10"/>
      <c r="B125" s="10"/>
      <c r="C125" s="12"/>
      <c r="D125" s="12"/>
      <c r="E125" s="10"/>
      <c r="F125" s="11"/>
      <c r="G125" s="10"/>
      <c r="H125" s="10"/>
      <c r="I125" s="11"/>
      <c r="J125" s="11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  <c r="W125" s="14" t="str">
        <f aca="false">IF(D125="","",D125-使用说明!$B$20)</f>
        <v/>
      </c>
      <c r="X125" s="14" t="str">
        <f aca="false">IF(D125="","",D125-使用说明!$B$21)</f>
        <v/>
      </c>
      <c r="Y125" s="14" t="str">
        <f aca="false">IF(D125="","",D125-使用说明!$B$22)</f>
        <v/>
      </c>
      <c r="Z125" s="12"/>
      <c r="AA125" s="14" t="str">
        <f aca="false">IF(Z125="","",Z125+21)</f>
        <v/>
      </c>
    </row>
    <row r="126" customFormat="false" ht="15" hidden="false" customHeight="false" outlineLevel="0" collapsed="false">
      <c r="A126" s="10"/>
      <c r="B126" s="10"/>
      <c r="C126" s="12"/>
      <c r="D126" s="12"/>
      <c r="E126" s="10"/>
      <c r="F126" s="11"/>
      <c r="G126" s="10"/>
      <c r="H126" s="10"/>
      <c r="I126" s="11"/>
      <c r="J126" s="11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  <c r="W126" s="14" t="str">
        <f aca="false">IF(D126="","",D126-使用说明!$B$20)</f>
        <v/>
      </c>
      <c r="X126" s="14" t="str">
        <f aca="false">IF(D126="","",D126-使用说明!$B$21)</f>
        <v/>
      </c>
      <c r="Y126" s="14" t="str">
        <f aca="false">IF(D126="","",D126-使用说明!$B$22)</f>
        <v/>
      </c>
      <c r="Z126" s="12"/>
      <c r="AA126" s="14" t="str">
        <f aca="false">IF(Z126="","",Z126+21)</f>
        <v/>
      </c>
    </row>
    <row r="127" customFormat="false" ht="15" hidden="false" customHeight="false" outlineLevel="0" collapsed="false">
      <c r="A127" s="10"/>
      <c r="B127" s="10"/>
      <c r="C127" s="12"/>
      <c r="D127" s="12"/>
      <c r="E127" s="10"/>
      <c r="F127" s="11"/>
      <c r="G127" s="10"/>
      <c r="H127" s="10"/>
      <c r="I127" s="11"/>
      <c r="J127" s="11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  <c r="W127" s="14" t="str">
        <f aca="false">IF(D127="","",D127-使用说明!$B$20)</f>
        <v/>
      </c>
      <c r="X127" s="14" t="str">
        <f aca="false">IF(D127="","",D127-使用说明!$B$21)</f>
        <v/>
      </c>
      <c r="Y127" s="14" t="str">
        <f aca="false">IF(D127="","",D127-使用说明!$B$22)</f>
        <v/>
      </c>
      <c r="Z127" s="12"/>
      <c r="AA127" s="14" t="str">
        <f aca="false">IF(Z127="","",Z127+21)</f>
        <v/>
      </c>
    </row>
    <row r="128" customFormat="false" ht="15" hidden="false" customHeight="false" outlineLevel="0" collapsed="false">
      <c r="A128" s="10"/>
      <c r="B128" s="10"/>
      <c r="C128" s="12"/>
      <c r="D128" s="12"/>
      <c r="E128" s="10"/>
      <c r="F128" s="11"/>
      <c r="G128" s="10"/>
      <c r="H128" s="10"/>
      <c r="I128" s="11"/>
      <c r="J128" s="11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  <c r="W128" s="14" t="str">
        <f aca="false">IF(D128="","",D128-使用说明!$B$20)</f>
        <v/>
      </c>
      <c r="X128" s="14" t="str">
        <f aca="false">IF(D128="","",D128-使用说明!$B$21)</f>
        <v/>
      </c>
      <c r="Y128" s="14" t="str">
        <f aca="false">IF(D128="","",D128-使用说明!$B$22)</f>
        <v/>
      </c>
      <c r="Z128" s="12"/>
      <c r="AA128" s="14" t="str">
        <f aca="false">IF(Z128="","",Z128+21)</f>
        <v/>
      </c>
    </row>
    <row r="129" customFormat="false" ht="15" hidden="false" customHeight="false" outlineLevel="0" collapsed="false">
      <c r="A129" s="10"/>
      <c r="B129" s="10"/>
      <c r="C129" s="12"/>
      <c r="D129" s="12"/>
      <c r="E129" s="10"/>
      <c r="F129" s="11"/>
      <c r="G129" s="10"/>
      <c r="H129" s="10"/>
      <c r="I129" s="11"/>
      <c r="J129" s="11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  <c r="W129" s="14" t="str">
        <f aca="false">IF(D129="","",D129-使用说明!$B$20)</f>
        <v/>
      </c>
      <c r="X129" s="14" t="str">
        <f aca="false">IF(D129="","",D129-使用说明!$B$21)</f>
        <v/>
      </c>
      <c r="Y129" s="14" t="str">
        <f aca="false">IF(D129="","",D129-使用说明!$B$22)</f>
        <v/>
      </c>
      <c r="Z129" s="12"/>
      <c r="AA129" s="14" t="str">
        <f aca="false">IF(Z129="","",Z129+21)</f>
        <v/>
      </c>
    </row>
    <row r="130" customFormat="false" ht="15" hidden="false" customHeight="false" outlineLevel="0" collapsed="false">
      <c r="A130" s="10"/>
      <c r="B130" s="10"/>
      <c r="C130" s="12"/>
      <c r="D130" s="12"/>
      <c r="E130" s="10"/>
      <c r="F130" s="11"/>
      <c r="G130" s="10"/>
      <c r="H130" s="10"/>
      <c r="I130" s="11"/>
      <c r="J130" s="11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  <c r="W130" s="14" t="str">
        <f aca="false">IF(D130="","",D130-使用说明!$B$20)</f>
        <v/>
      </c>
      <c r="X130" s="14" t="str">
        <f aca="false">IF(D130="","",D130-使用说明!$B$21)</f>
        <v/>
      </c>
      <c r="Y130" s="14" t="str">
        <f aca="false">IF(D130="","",D130-使用说明!$B$22)</f>
        <v/>
      </c>
      <c r="Z130" s="12"/>
      <c r="AA130" s="14" t="str">
        <f aca="false">IF(Z130="","",Z130+21)</f>
        <v/>
      </c>
    </row>
    <row r="131" customFormat="false" ht="15" hidden="false" customHeight="false" outlineLevel="0" collapsed="false">
      <c r="A131" s="10"/>
      <c r="B131" s="10"/>
      <c r="C131" s="12"/>
      <c r="D131" s="12"/>
      <c r="E131" s="10"/>
      <c r="F131" s="11"/>
      <c r="G131" s="10"/>
      <c r="H131" s="10"/>
      <c r="I131" s="11"/>
      <c r="J131" s="11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  <c r="W131" s="14" t="str">
        <f aca="false">IF(D131="","",D131-使用说明!$B$20)</f>
        <v/>
      </c>
      <c r="X131" s="14" t="str">
        <f aca="false">IF(D131="","",D131-使用说明!$B$21)</f>
        <v/>
      </c>
      <c r="Y131" s="14" t="str">
        <f aca="false">IF(D131="","",D131-使用说明!$B$22)</f>
        <v/>
      </c>
      <c r="Z131" s="12"/>
      <c r="AA131" s="14" t="str">
        <f aca="false">IF(Z131="","",Z131+21)</f>
        <v/>
      </c>
    </row>
    <row r="132" customFormat="false" ht="15" hidden="false" customHeight="false" outlineLevel="0" collapsed="false">
      <c r="A132" s="10"/>
      <c r="B132" s="10"/>
      <c r="C132" s="12"/>
      <c r="D132" s="12"/>
      <c r="E132" s="10"/>
      <c r="F132" s="11"/>
      <c r="G132" s="10"/>
      <c r="H132" s="10"/>
      <c r="I132" s="11"/>
      <c r="J132" s="11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  <c r="W132" s="14" t="str">
        <f aca="false">IF(D132="","",D132-使用说明!$B$20)</f>
        <v/>
      </c>
      <c r="X132" s="14" t="str">
        <f aca="false">IF(D132="","",D132-使用说明!$B$21)</f>
        <v/>
      </c>
      <c r="Y132" s="14" t="str">
        <f aca="false">IF(D132="","",D132-使用说明!$B$22)</f>
        <v/>
      </c>
      <c r="Z132" s="12"/>
      <c r="AA132" s="14" t="str">
        <f aca="false">IF(Z132="","",Z132+21)</f>
        <v/>
      </c>
    </row>
    <row r="133" customFormat="false" ht="15" hidden="false" customHeight="false" outlineLevel="0" collapsed="false">
      <c r="A133" s="10"/>
      <c r="B133" s="10"/>
      <c r="C133" s="12"/>
      <c r="D133" s="12"/>
      <c r="E133" s="10"/>
      <c r="F133" s="11"/>
      <c r="G133" s="10"/>
      <c r="H133" s="10"/>
      <c r="I133" s="11"/>
      <c r="J133" s="11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  <c r="W133" s="14" t="str">
        <f aca="false">IF(D133="","",D133-使用说明!$B$20)</f>
        <v/>
      </c>
      <c r="X133" s="14" t="str">
        <f aca="false">IF(D133="","",D133-使用说明!$B$21)</f>
        <v/>
      </c>
      <c r="Y133" s="14" t="str">
        <f aca="false">IF(D133="","",D133-使用说明!$B$22)</f>
        <v/>
      </c>
      <c r="Z133" s="12"/>
      <c r="AA133" s="14" t="str">
        <f aca="false">IF(Z133="","",Z133+21)</f>
        <v/>
      </c>
    </row>
    <row r="134" customFormat="false" ht="15" hidden="false" customHeight="false" outlineLevel="0" collapsed="false">
      <c r="A134" s="10"/>
      <c r="B134" s="10"/>
      <c r="C134" s="12"/>
      <c r="D134" s="12"/>
      <c r="E134" s="10"/>
      <c r="F134" s="11"/>
      <c r="G134" s="10"/>
      <c r="H134" s="10"/>
      <c r="I134" s="11"/>
      <c r="J134" s="11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  <c r="W134" s="14" t="str">
        <f aca="false">IF(D134="","",D134-使用说明!$B$20)</f>
        <v/>
      </c>
      <c r="X134" s="14" t="str">
        <f aca="false">IF(D134="","",D134-使用说明!$B$21)</f>
        <v/>
      </c>
      <c r="Y134" s="14" t="str">
        <f aca="false">IF(D134="","",D134-使用说明!$B$22)</f>
        <v/>
      </c>
      <c r="Z134" s="12"/>
      <c r="AA134" s="14" t="str">
        <f aca="false">IF(Z134="","",Z134+21)</f>
        <v/>
      </c>
    </row>
    <row r="135" customFormat="false" ht="15" hidden="false" customHeight="false" outlineLevel="0" collapsed="false">
      <c r="A135" s="10"/>
      <c r="B135" s="10"/>
      <c r="C135" s="12"/>
      <c r="D135" s="12"/>
      <c r="E135" s="10"/>
      <c r="F135" s="11"/>
      <c r="G135" s="10"/>
      <c r="H135" s="10"/>
      <c r="I135" s="11"/>
      <c r="J135" s="11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  <c r="W135" s="14" t="str">
        <f aca="false">IF(D135="","",D135-使用说明!$B$20)</f>
        <v/>
      </c>
      <c r="X135" s="14" t="str">
        <f aca="false">IF(D135="","",D135-使用说明!$B$21)</f>
        <v/>
      </c>
      <c r="Y135" s="14" t="str">
        <f aca="false">IF(D135="","",D135-使用说明!$B$22)</f>
        <v/>
      </c>
      <c r="Z135" s="12"/>
      <c r="AA135" s="14" t="str">
        <f aca="false">IF(Z135="","",Z135+21)</f>
        <v/>
      </c>
    </row>
    <row r="136" customFormat="false" ht="15" hidden="false" customHeight="false" outlineLevel="0" collapsed="false">
      <c r="A136" s="10"/>
      <c r="B136" s="10"/>
      <c r="C136" s="12"/>
      <c r="D136" s="12"/>
      <c r="E136" s="10"/>
      <c r="F136" s="11"/>
      <c r="G136" s="10"/>
      <c r="H136" s="10"/>
      <c r="I136" s="11"/>
      <c r="J136" s="11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  <c r="W136" s="14" t="str">
        <f aca="false">IF(D136="","",D136-使用说明!$B$20)</f>
        <v/>
      </c>
      <c r="X136" s="14" t="str">
        <f aca="false">IF(D136="","",D136-使用说明!$B$21)</f>
        <v/>
      </c>
      <c r="Y136" s="14" t="str">
        <f aca="false">IF(D136="","",D136-使用说明!$B$22)</f>
        <v/>
      </c>
      <c r="Z136" s="12"/>
      <c r="AA136" s="14" t="str">
        <f aca="false">IF(Z136="","",Z136+21)</f>
        <v/>
      </c>
    </row>
    <row r="137" customFormat="false" ht="15" hidden="false" customHeight="false" outlineLevel="0" collapsed="false">
      <c r="A137" s="10"/>
      <c r="B137" s="10"/>
      <c r="C137" s="12"/>
      <c r="D137" s="12"/>
      <c r="E137" s="10"/>
      <c r="F137" s="11"/>
      <c r="G137" s="10"/>
      <c r="H137" s="10"/>
      <c r="I137" s="11"/>
      <c r="J137" s="11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  <c r="W137" s="14" t="str">
        <f aca="false">IF(D137="","",D137-使用说明!$B$20)</f>
        <v/>
      </c>
      <c r="X137" s="14" t="str">
        <f aca="false">IF(D137="","",D137-使用说明!$B$21)</f>
        <v/>
      </c>
      <c r="Y137" s="14" t="str">
        <f aca="false">IF(D137="","",D137-使用说明!$B$22)</f>
        <v/>
      </c>
      <c r="Z137" s="12"/>
      <c r="AA137" s="14" t="str">
        <f aca="false">IF(Z137="","",Z137+21)</f>
        <v/>
      </c>
    </row>
    <row r="138" customFormat="false" ht="15" hidden="false" customHeight="false" outlineLevel="0" collapsed="false">
      <c r="A138" s="10"/>
      <c r="B138" s="10"/>
      <c r="C138" s="12"/>
      <c r="D138" s="12"/>
      <c r="E138" s="10"/>
      <c r="F138" s="11"/>
      <c r="G138" s="10"/>
      <c r="H138" s="10"/>
      <c r="I138" s="11"/>
      <c r="J138" s="11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  <c r="W138" s="14" t="str">
        <f aca="false">IF(D138="","",D138-使用说明!$B$20)</f>
        <v/>
      </c>
      <c r="X138" s="14" t="str">
        <f aca="false">IF(D138="","",D138-使用说明!$B$21)</f>
        <v/>
      </c>
      <c r="Y138" s="14" t="str">
        <f aca="false">IF(D138="","",D138-使用说明!$B$22)</f>
        <v/>
      </c>
      <c r="Z138" s="12"/>
      <c r="AA138" s="14" t="str">
        <f aca="false">IF(Z138="","",Z138+21)</f>
        <v/>
      </c>
    </row>
    <row r="139" customFormat="false" ht="15" hidden="false" customHeight="false" outlineLevel="0" collapsed="false">
      <c r="A139" s="10"/>
      <c r="B139" s="10"/>
      <c r="C139" s="12"/>
      <c r="D139" s="12"/>
      <c r="E139" s="10"/>
      <c r="F139" s="11"/>
      <c r="G139" s="10"/>
      <c r="H139" s="10"/>
      <c r="I139" s="11"/>
      <c r="J139" s="11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  <c r="W139" s="14" t="str">
        <f aca="false">IF(D139="","",D139-使用说明!$B$20)</f>
        <v/>
      </c>
      <c r="X139" s="14" t="str">
        <f aca="false">IF(D139="","",D139-使用说明!$B$21)</f>
        <v/>
      </c>
      <c r="Y139" s="14" t="str">
        <f aca="false">IF(D139="","",D139-使用说明!$B$22)</f>
        <v/>
      </c>
      <c r="Z139" s="12"/>
      <c r="AA139" s="14" t="str">
        <f aca="false">IF(Z139="","",Z139+21)</f>
        <v/>
      </c>
    </row>
    <row r="140" customFormat="false" ht="15" hidden="false" customHeight="false" outlineLevel="0" collapsed="false">
      <c r="A140" s="10"/>
      <c r="B140" s="10"/>
      <c r="C140" s="12"/>
      <c r="D140" s="12"/>
      <c r="E140" s="10"/>
      <c r="F140" s="11"/>
      <c r="G140" s="10"/>
      <c r="H140" s="10"/>
      <c r="I140" s="11"/>
      <c r="J140" s="11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  <c r="W140" s="14" t="str">
        <f aca="false">IF(D140="","",D140-使用说明!$B$20)</f>
        <v/>
      </c>
      <c r="X140" s="14" t="str">
        <f aca="false">IF(D140="","",D140-使用说明!$B$21)</f>
        <v/>
      </c>
      <c r="Y140" s="14" t="str">
        <f aca="false">IF(D140="","",D140-使用说明!$B$22)</f>
        <v/>
      </c>
      <c r="Z140" s="12"/>
      <c r="AA140" s="14" t="str">
        <f aca="false">IF(Z140="","",Z140+21)</f>
        <v/>
      </c>
    </row>
    <row r="141" customFormat="false" ht="15" hidden="false" customHeight="false" outlineLevel="0" collapsed="false">
      <c r="A141" s="10"/>
      <c r="B141" s="10"/>
      <c r="C141" s="12"/>
      <c r="D141" s="12"/>
      <c r="E141" s="10"/>
      <c r="F141" s="11"/>
      <c r="G141" s="10"/>
      <c r="H141" s="10"/>
      <c r="I141" s="11"/>
      <c r="J141" s="11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  <c r="W141" s="14" t="str">
        <f aca="false">IF(D141="","",D141-使用说明!$B$20)</f>
        <v/>
      </c>
      <c r="X141" s="14" t="str">
        <f aca="false">IF(D141="","",D141-使用说明!$B$21)</f>
        <v/>
      </c>
      <c r="Y141" s="14" t="str">
        <f aca="false">IF(D141="","",D141-使用说明!$B$22)</f>
        <v/>
      </c>
      <c r="Z141" s="12"/>
      <c r="AA141" s="14" t="str">
        <f aca="false">IF(Z141="","",Z141+21)</f>
        <v/>
      </c>
    </row>
    <row r="142" customFormat="false" ht="15" hidden="false" customHeight="false" outlineLevel="0" collapsed="false">
      <c r="A142" s="10"/>
      <c r="B142" s="10"/>
      <c r="C142" s="12"/>
      <c r="D142" s="12"/>
      <c r="E142" s="10"/>
      <c r="F142" s="11"/>
      <c r="G142" s="10"/>
      <c r="H142" s="10"/>
      <c r="I142" s="11"/>
      <c r="J142" s="11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  <c r="W142" s="14" t="str">
        <f aca="false">IF(D142="","",D142-使用说明!$B$20)</f>
        <v/>
      </c>
      <c r="X142" s="14" t="str">
        <f aca="false">IF(D142="","",D142-使用说明!$B$21)</f>
        <v/>
      </c>
      <c r="Y142" s="14" t="str">
        <f aca="false">IF(D142="","",D142-使用说明!$B$22)</f>
        <v/>
      </c>
      <c r="Z142" s="12"/>
      <c r="AA142" s="14" t="str">
        <f aca="false">IF(Z142="","",Z142+21)</f>
        <v/>
      </c>
    </row>
    <row r="143" customFormat="false" ht="15" hidden="false" customHeight="false" outlineLevel="0" collapsed="false">
      <c r="A143" s="10"/>
      <c r="B143" s="10"/>
      <c r="C143" s="12"/>
      <c r="D143" s="12"/>
      <c r="E143" s="10"/>
      <c r="F143" s="11"/>
      <c r="G143" s="10"/>
      <c r="H143" s="10"/>
      <c r="I143" s="11"/>
      <c r="J143" s="11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  <c r="W143" s="14" t="str">
        <f aca="false">IF(D143="","",D143-使用说明!$B$20)</f>
        <v/>
      </c>
      <c r="X143" s="14" t="str">
        <f aca="false">IF(D143="","",D143-使用说明!$B$21)</f>
        <v/>
      </c>
      <c r="Y143" s="14" t="str">
        <f aca="false">IF(D143="","",D143-使用说明!$B$22)</f>
        <v/>
      </c>
      <c r="Z143" s="12"/>
      <c r="AA143" s="14" t="str">
        <f aca="false">IF(Z143="","",Z143+21)</f>
        <v/>
      </c>
    </row>
    <row r="144" customFormat="false" ht="15" hidden="false" customHeight="false" outlineLevel="0" collapsed="false">
      <c r="A144" s="10"/>
      <c r="B144" s="10"/>
      <c r="C144" s="12"/>
      <c r="D144" s="12"/>
      <c r="E144" s="10"/>
      <c r="F144" s="11"/>
      <c r="G144" s="10"/>
      <c r="H144" s="10"/>
      <c r="I144" s="11"/>
      <c r="J144" s="11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  <c r="W144" s="14" t="str">
        <f aca="false">IF(D144="","",D144-使用说明!$B$20)</f>
        <v/>
      </c>
      <c r="X144" s="14" t="str">
        <f aca="false">IF(D144="","",D144-使用说明!$B$21)</f>
        <v/>
      </c>
      <c r="Y144" s="14" t="str">
        <f aca="false">IF(D144="","",D144-使用说明!$B$22)</f>
        <v/>
      </c>
      <c r="Z144" s="12"/>
      <c r="AA144" s="14" t="str">
        <f aca="false">IF(Z144="","",Z144+21)</f>
        <v/>
      </c>
    </row>
    <row r="145" customFormat="false" ht="15" hidden="false" customHeight="false" outlineLevel="0" collapsed="false">
      <c r="A145" s="10"/>
      <c r="B145" s="10"/>
      <c r="C145" s="12"/>
      <c r="D145" s="12"/>
      <c r="E145" s="10"/>
      <c r="F145" s="11"/>
      <c r="G145" s="10"/>
      <c r="H145" s="10"/>
      <c r="I145" s="11"/>
      <c r="J145" s="11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  <c r="W145" s="14" t="str">
        <f aca="false">IF(D145="","",D145-使用说明!$B$20)</f>
        <v/>
      </c>
      <c r="X145" s="14" t="str">
        <f aca="false">IF(D145="","",D145-使用说明!$B$21)</f>
        <v/>
      </c>
      <c r="Y145" s="14" t="str">
        <f aca="false">IF(D145="","",D145-使用说明!$B$22)</f>
        <v/>
      </c>
      <c r="Z145" s="12"/>
      <c r="AA145" s="14" t="str">
        <f aca="false">IF(Z145="","",Z145+21)</f>
        <v/>
      </c>
    </row>
    <row r="146" customFormat="false" ht="15" hidden="false" customHeight="false" outlineLevel="0" collapsed="false">
      <c r="A146" s="10"/>
      <c r="B146" s="10"/>
      <c r="C146" s="12"/>
      <c r="D146" s="12"/>
      <c r="E146" s="10"/>
      <c r="F146" s="11"/>
      <c r="G146" s="10"/>
      <c r="H146" s="10"/>
      <c r="I146" s="11"/>
      <c r="J146" s="11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  <c r="W146" s="14" t="str">
        <f aca="false">IF(D146="","",D146-使用说明!$B$20)</f>
        <v/>
      </c>
      <c r="X146" s="14" t="str">
        <f aca="false">IF(D146="","",D146-使用说明!$B$21)</f>
        <v/>
      </c>
      <c r="Y146" s="14" t="str">
        <f aca="false">IF(D146="","",D146-使用说明!$B$22)</f>
        <v/>
      </c>
      <c r="Z146" s="12"/>
      <c r="AA146" s="14" t="str">
        <f aca="false">IF(Z146="","",Z146+21)</f>
        <v/>
      </c>
    </row>
    <row r="147" customFormat="false" ht="15" hidden="false" customHeight="false" outlineLevel="0" collapsed="false">
      <c r="A147" s="10"/>
      <c r="B147" s="10"/>
      <c r="C147" s="12"/>
      <c r="D147" s="12"/>
      <c r="E147" s="10"/>
      <c r="F147" s="11"/>
      <c r="G147" s="10"/>
      <c r="H147" s="10"/>
      <c r="I147" s="11"/>
      <c r="J147" s="11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  <c r="W147" s="14" t="str">
        <f aca="false">IF(D147="","",D147-使用说明!$B$20)</f>
        <v/>
      </c>
      <c r="X147" s="14" t="str">
        <f aca="false">IF(D147="","",D147-使用说明!$B$21)</f>
        <v/>
      </c>
      <c r="Y147" s="14" t="str">
        <f aca="false">IF(D147="","",D147-使用说明!$B$22)</f>
        <v/>
      </c>
      <c r="Z147" s="12"/>
      <c r="AA147" s="14" t="str">
        <f aca="false">IF(Z147="","",Z147+21)</f>
        <v/>
      </c>
    </row>
    <row r="148" customFormat="false" ht="15" hidden="false" customHeight="false" outlineLevel="0" collapsed="false">
      <c r="A148" s="10"/>
      <c r="B148" s="10"/>
      <c r="C148" s="12"/>
      <c r="D148" s="12"/>
      <c r="E148" s="10"/>
      <c r="F148" s="11"/>
      <c r="G148" s="10"/>
      <c r="H148" s="10"/>
      <c r="I148" s="11"/>
      <c r="J148" s="11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  <c r="W148" s="14" t="str">
        <f aca="false">IF(D148="","",D148-使用说明!$B$20)</f>
        <v/>
      </c>
      <c r="X148" s="14" t="str">
        <f aca="false">IF(D148="","",D148-使用说明!$B$21)</f>
        <v/>
      </c>
      <c r="Y148" s="14" t="str">
        <f aca="false">IF(D148="","",D148-使用说明!$B$22)</f>
        <v/>
      </c>
      <c r="Z148" s="12"/>
      <c r="AA148" s="14" t="str">
        <f aca="false">IF(Z148="","",Z148+21)</f>
        <v/>
      </c>
    </row>
    <row r="149" customFormat="false" ht="15" hidden="false" customHeight="false" outlineLevel="0" collapsed="false">
      <c r="A149" s="10"/>
      <c r="B149" s="10"/>
      <c r="C149" s="12"/>
      <c r="D149" s="12"/>
      <c r="E149" s="10"/>
      <c r="F149" s="11"/>
      <c r="G149" s="10"/>
      <c r="H149" s="10"/>
      <c r="I149" s="11"/>
      <c r="J149" s="11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  <c r="W149" s="14" t="str">
        <f aca="false">IF(D149="","",D149-使用说明!$B$20)</f>
        <v/>
      </c>
      <c r="X149" s="14" t="str">
        <f aca="false">IF(D149="","",D149-使用说明!$B$21)</f>
        <v/>
      </c>
      <c r="Y149" s="14" t="str">
        <f aca="false">IF(D149="","",D149-使用说明!$B$22)</f>
        <v/>
      </c>
      <c r="Z149" s="12"/>
      <c r="AA149" s="14" t="str">
        <f aca="false">IF(Z149="","",Z149+21)</f>
        <v/>
      </c>
    </row>
    <row r="150" customFormat="false" ht="15" hidden="false" customHeight="false" outlineLevel="0" collapsed="false">
      <c r="A150" s="10"/>
      <c r="B150" s="10"/>
      <c r="C150" s="12"/>
      <c r="D150" s="12"/>
      <c r="E150" s="10"/>
      <c r="F150" s="11"/>
      <c r="G150" s="10"/>
      <c r="H150" s="10"/>
      <c r="I150" s="11"/>
      <c r="J150" s="11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  <c r="W150" s="14" t="str">
        <f aca="false">IF(D150="","",D150-使用说明!$B$20)</f>
        <v/>
      </c>
      <c r="X150" s="14" t="str">
        <f aca="false">IF(D150="","",D150-使用说明!$B$21)</f>
        <v/>
      </c>
      <c r="Y150" s="14" t="str">
        <f aca="false">IF(D150="","",D150-使用说明!$B$22)</f>
        <v/>
      </c>
      <c r="Z150" s="12"/>
      <c r="AA150" s="14" t="str">
        <f aca="false">IF(Z150="","",Z150+21)</f>
        <v/>
      </c>
    </row>
    <row r="151" customFormat="false" ht="15" hidden="false" customHeight="false" outlineLevel="0" collapsed="false">
      <c r="A151" s="10"/>
      <c r="B151" s="10"/>
      <c r="C151" s="12"/>
      <c r="D151" s="12"/>
      <c r="E151" s="10"/>
      <c r="F151" s="11"/>
      <c r="G151" s="10"/>
      <c r="H151" s="10"/>
      <c r="I151" s="11"/>
      <c r="J151" s="11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  <c r="W151" s="14" t="str">
        <f aca="false">IF(D151="","",D151-使用说明!$B$20)</f>
        <v/>
      </c>
      <c r="X151" s="14" t="str">
        <f aca="false">IF(D151="","",D151-使用说明!$B$21)</f>
        <v/>
      </c>
      <c r="Y151" s="14" t="str">
        <f aca="false">IF(D151="","",D151-使用说明!$B$22)</f>
        <v/>
      </c>
      <c r="Z151" s="12"/>
      <c r="AA151" s="14" t="str">
        <f aca="false">IF(Z151="","",Z151+21)</f>
        <v/>
      </c>
    </row>
    <row r="152" customFormat="false" ht="15" hidden="false" customHeight="false" outlineLevel="0" collapsed="false">
      <c r="A152" s="10"/>
      <c r="B152" s="10"/>
      <c r="C152" s="12"/>
      <c r="D152" s="12"/>
      <c r="E152" s="10"/>
      <c r="F152" s="11"/>
      <c r="G152" s="10"/>
      <c r="H152" s="10"/>
      <c r="I152" s="11"/>
      <c r="J152" s="11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  <c r="W152" s="14" t="str">
        <f aca="false">IF(D152="","",D152-使用说明!$B$20)</f>
        <v/>
      </c>
      <c r="X152" s="14" t="str">
        <f aca="false">IF(D152="","",D152-使用说明!$B$21)</f>
        <v/>
      </c>
      <c r="Y152" s="14" t="str">
        <f aca="false">IF(D152="","",D152-使用说明!$B$22)</f>
        <v/>
      </c>
      <c r="Z152" s="12"/>
      <c r="AA152" s="14" t="str">
        <f aca="false">IF(Z152="","",Z152+21)</f>
        <v/>
      </c>
    </row>
    <row r="153" customFormat="false" ht="15" hidden="false" customHeight="false" outlineLevel="0" collapsed="false">
      <c r="A153" s="10"/>
      <c r="B153" s="10"/>
      <c r="C153" s="12"/>
      <c r="D153" s="12"/>
      <c r="E153" s="10"/>
      <c r="F153" s="11"/>
      <c r="G153" s="10"/>
      <c r="H153" s="10"/>
      <c r="I153" s="11"/>
      <c r="J153" s="11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  <c r="W153" s="14" t="str">
        <f aca="false">IF(D153="","",D153-使用说明!$B$20)</f>
        <v/>
      </c>
      <c r="X153" s="14" t="str">
        <f aca="false">IF(D153="","",D153-使用说明!$B$21)</f>
        <v/>
      </c>
      <c r="Y153" s="14" t="str">
        <f aca="false">IF(D153="","",D153-使用说明!$B$22)</f>
        <v/>
      </c>
      <c r="Z153" s="12"/>
      <c r="AA153" s="14" t="str">
        <f aca="false">IF(Z153="","",Z153+21)</f>
        <v/>
      </c>
    </row>
    <row r="154" customFormat="false" ht="15" hidden="false" customHeight="false" outlineLevel="0" collapsed="false">
      <c r="A154" s="10"/>
      <c r="B154" s="10"/>
      <c r="C154" s="12"/>
      <c r="D154" s="12"/>
      <c r="E154" s="10"/>
      <c r="F154" s="11"/>
      <c r="G154" s="10"/>
      <c r="H154" s="10"/>
      <c r="I154" s="11"/>
      <c r="J154" s="11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  <c r="W154" s="14" t="str">
        <f aca="false">IF(D154="","",D154-使用说明!$B$20)</f>
        <v/>
      </c>
      <c r="X154" s="14" t="str">
        <f aca="false">IF(D154="","",D154-使用说明!$B$21)</f>
        <v/>
      </c>
      <c r="Y154" s="14" t="str">
        <f aca="false">IF(D154="","",D154-使用说明!$B$22)</f>
        <v/>
      </c>
      <c r="Z154" s="12"/>
      <c r="AA154" s="14" t="str">
        <f aca="false">IF(Z154="","",Z154+21)</f>
        <v/>
      </c>
    </row>
    <row r="155" customFormat="false" ht="15" hidden="false" customHeight="false" outlineLevel="0" collapsed="false">
      <c r="A155" s="10"/>
      <c r="B155" s="10"/>
      <c r="C155" s="12"/>
      <c r="D155" s="12"/>
      <c r="E155" s="10"/>
      <c r="F155" s="11"/>
      <c r="G155" s="10"/>
      <c r="H155" s="10"/>
      <c r="I155" s="11"/>
      <c r="J155" s="11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  <c r="W155" s="14" t="str">
        <f aca="false">IF(D155="","",D155-使用说明!$B$20)</f>
        <v/>
      </c>
      <c r="X155" s="14" t="str">
        <f aca="false">IF(D155="","",D155-使用说明!$B$21)</f>
        <v/>
      </c>
      <c r="Y155" s="14" t="str">
        <f aca="false">IF(D155="","",D155-使用说明!$B$22)</f>
        <v/>
      </c>
      <c r="Z155" s="12"/>
      <c r="AA155" s="14" t="str">
        <f aca="false">IF(Z155="","",Z155+21)</f>
        <v/>
      </c>
    </row>
    <row r="156" customFormat="false" ht="15" hidden="false" customHeight="false" outlineLevel="0" collapsed="false">
      <c r="A156" s="10"/>
      <c r="B156" s="10"/>
      <c r="C156" s="12"/>
      <c r="D156" s="12"/>
      <c r="E156" s="10"/>
      <c r="F156" s="11"/>
      <c r="G156" s="10"/>
      <c r="H156" s="10"/>
      <c r="I156" s="11"/>
      <c r="J156" s="11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  <c r="W156" s="14" t="str">
        <f aca="false">IF(D156="","",D156-使用说明!$B$20)</f>
        <v/>
      </c>
      <c r="X156" s="14" t="str">
        <f aca="false">IF(D156="","",D156-使用说明!$B$21)</f>
        <v/>
      </c>
      <c r="Y156" s="14" t="str">
        <f aca="false">IF(D156="","",D156-使用说明!$B$22)</f>
        <v/>
      </c>
      <c r="Z156" s="12"/>
      <c r="AA156" s="14" t="str">
        <f aca="false">IF(Z156="","",Z156+21)</f>
        <v/>
      </c>
    </row>
    <row r="157" customFormat="false" ht="15" hidden="false" customHeight="false" outlineLevel="0" collapsed="false">
      <c r="A157" s="10"/>
      <c r="B157" s="10"/>
      <c r="C157" s="12"/>
      <c r="D157" s="12"/>
      <c r="E157" s="10"/>
      <c r="F157" s="11"/>
      <c r="G157" s="10"/>
      <c r="H157" s="10"/>
      <c r="I157" s="11"/>
      <c r="J157" s="11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  <c r="W157" s="14" t="str">
        <f aca="false">IF(D157="","",D157-使用说明!$B$20)</f>
        <v/>
      </c>
      <c r="X157" s="14" t="str">
        <f aca="false">IF(D157="","",D157-使用说明!$B$21)</f>
        <v/>
      </c>
      <c r="Y157" s="14" t="str">
        <f aca="false">IF(D157="","",D157-使用说明!$B$22)</f>
        <v/>
      </c>
      <c r="Z157" s="12"/>
      <c r="AA157" s="14" t="str">
        <f aca="false">IF(Z157="","",Z157+21)</f>
        <v/>
      </c>
    </row>
    <row r="158" customFormat="false" ht="15" hidden="false" customHeight="false" outlineLevel="0" collapsed="false">
      <c r="A158" s="10"/>
      <c r="B158" s="10"/>
      <c r="C158" s="12"/>
      <c r="D158" s="12"/>
      <c r="E158" s="10"/>
      <c r="F158" s="11"/>
      <c r="G158" s="10"/>
      <c r="H158" s="10"/>
      <c r="I158" s="11"/>
      <c r="J158" s="11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  <c r="W158" s="14" t="str">
        <f aca="false">IF(D158="","",D158-使用说明!$B$20)</f>
        <v/>
      </c>
      <c r="X158" s="14" t="str">
        <f aca="false">IF(D158="","",D158-使用说明!$B$21)</f>
        <v/>
      </c>
      <c r="Y158" s="14" t="str">
        <f aca="false">IF(D158="","",D158-使用说明!$B$22)</f>
        <v/>
      </c>
      <c r="Z158" s="12"/>
      <c r="AA158" s="14" t="str">
        <f aca="false">IF(Z158="","",Z158+21)</f>
        <v/>
      </c>
    </row>
    <row r="159" customFormat="false" ht="15" hidden="false" customHeight="false" outlineLevel="0" collapsed="false">
      <c r="A159" s="10"/>
      <c r="B159" s="10"/>
      <c r="C159" s="12"/>
      <c r="D159" s="12"/>
      <c r="E159" s="10"/>
      <c r="F159" s="11"/>
      <c r="G159" s="10"/>
      <c r="H159" s="10"/>
      <c r="I159" s="11"/>
      <c r="J159" s="11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  <c r="W159" s="14" t="str">
        <f aca="false">IF(D159="","",D159-使用说明!$B$20)</f>
        <v/>
      </c>
      <c r="X159" s="14" t="str">
        <f aca="false">IF(D159="","",D159-使用说明!$B$21)</f>
        <v/>
      </c>
      <c r="Y159" s="14" t="str">
        <f aca="false">IF(D159="","",D159-使用说明!$B$22)</f>
        <v/>
      </c>
      <c r="Z159" s="12"/>
      <c r="AA159" s="14" t="str">
        <f aca="false">IF(Z159="","",Z159+21)</f>
        <v/>
      </c>
    </row>
    <row r="160" customFormat="false" ht="15" hidden="false" customHeight="false" outlineLevel="0" collapsed="false">
      <c r="A160" s="10"/>
      <c r="B160" s="10"/>
      <c r="C160" s="12"/>
      <c r="D160" s="12"/>
      <c r="E160" s="10"/>
      <c r="F160" s="11"/>
      <c r="G160" s="10"/>
      <c r="H160" s="10"/>
      <c r="I160" s="11"/>
      <c r="J160" s="11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  <c r="W160" s="14" t="str">
        <f aca="false">IF(D160="","",D160-使用说明!$B$20)</f>
        <v/>
      </c>
      <c r="X160" s="14" t="str">
        <f aca="false">IF(D160="","",D160-使用说明!$B$21)</f>
        <v/>
      </c>
      <c r="Y160" s="14" t="str">
        <f aca="false">IF(D160="","",D160-使用说明!$B$22)</f>
        <v/>
      </c>
      <c r="Z160" s="12"/>
      <c r="AA160" s="14" t="str">
        <f aca="false">IF(Z160="","",Z160+21)</f>
        <v/>
      </c>
    </row>
    <row r="161" customFormat="false" ht="15" hidden="false" customHeight="false" outlineLevel="0" collapsed="false">
      <c r="A161" s="10"/>
      <c r="B161" s="10"/>
      <c r="C161" s="12"/>
      <c r="D161" s="12"/>
      <c r="E161" s="10"/>
      <c r="F161" s="11"/>
      <c r="G161" s="10"/>
      <c r="H161" s="10"/>
      <c r="I161" s="11"/>
      <c r="J161" s="11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  <c r="W161" s="14" t="str">
        <f aca="false">IF(D161="","",D161-使用说明!$B$20)</f>
        <v/>
      </c>
      <c r="X161" s="14" t="str">
        <f aca="false">IF(D161="","",D161-使用说明!$B$21)</f>
        <v/>
      </c>
      <c r="Y161" s="14" t="str">
        <f aca="false">IF(D161="","",D161-使用说明!$B$22)</f>
        <v/>
      </c>
      <c r="Z161" s="12"/>
      <c r="AA161" s="14" t="str">
        <f aca="false">IF(Z161="","",Z161+21)</f>
        <v/>
      </c>
    </row>
    <row r="162" customFormat="false" ht="15" hidden="false" customHeight="false" outlineLevel="0" collapsed="false">
      <c r="A162" s="10"/>
      <c r="B162" s="10"/>
      <c r="C162" s="12"/>
      <c r="D162" s="12"/>
      <c r="E162" s="10"/>
      <c r="F162" s="11"/>
      <c r="G162" s="10"/>
      <c r="H162" s="10"/>
      <c r="I162" s="11"/>
      <c r="J162" s="11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  <c r="W162" s="14" t="str">
        <f aca="false">IF(D162="","",D162-使用说明!$B$20)</f>
        <v/>
      </c>
      <c r="X162" s="14" t="str">
        <f aca="false">IF(D162="","",D162-使用说明!$B$21)</f>
        <v/>
      </c>
      <c r="Y162" s="14" t="str">
        <f aca="false">IF(D162="","",D162-使用说明!$B$22)</f>
        <v/>
      </c>
      <c r="Z162" s="12"/>
      <c r="AA162" s="14" t="str">
        <f aca="false">IF(Z162="","",Z162+21)</f>
        <v/>
      </c>
    </row>
    <row r="163" customFormat="false" ht="15" hidden="false" customHeight="false" outlineLevel="0" collapsed="false">
      <c r="A163" s="10"/>
      <c r="B163" s="10"/>
      <c r="C163" s="12"/>
      <c r="D163" s="12"/>
      <c r="E163" s="10"/>
      <c r="F163" s="11"/>
      <c r="G163" s="10"/>
      <c r="H163" s="10"/>
      <c r="I163" s="11"/>
      <c r="J163" s="11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  <c r="W163" s="14" t="str">
        <f aca="false">IF(D163="","",D163-使用说明!$B$20)</f>
        <v/>
      </c>
      <c r="X163" s="14" t="str">
        <f aca="false">IF(D163="","",D163-使用说明!$B$21)</f>
        <v/>
      </c>
      <c r="Y163" s="14" t="str">
        <f aca="false">IF(D163="","",D163-使用说明!$B$22)</f>
        <v/>
      </c>
      <c r="Z163" s="12"/>
      <c r="AA163" s="14" t="str">
        <f aca="false">IF(Z163="","",Z163+21)</f>
        <v/>
      </c>
    </row>
    <row r="164" customFormat="false" ht="15" hidden="false" customHeight="false" outlineLevel="0" collapsed="false">
      <c r="A164" s="10"/>
      <c r="B164" s="10"/>
      <c r="C164" s="12"/>
      <c r="D164" s="12"/>
      <c r="E164" s="10"/>
      <c r="F164" s="11"/>
      <c r="G164" s="10"/>
      <c r="H164" s="10"/>
      <c r="I164" s="11"/>
      <c r="J164" s="11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  <c r="W164" s="14" t="str">
        <f aca="false">IF(D164="","",D164-使用说明!$B$20)</f>
        <v/>
      </c>
      <c r="X164" s="14" t="str">
        <f aca="false">IF(D164="","",D164-使用说明!$B$21)</f>
        <v/>
      </c>
      <c r="Y164" s="14" t="str">
        <f aca="false">IF(D164="","",D164-使用说明!$B$22)</f>
        <v/>
      </c>
      <c r="Z164" s="12"/>
      <c r="AA164" s="14" t="str">
        <f aca="false">IF(Z164="","",Z164+21)</f>
        <v/>
      </c>
    </row>
    <row r="165" customFormat="false" ht="15" hidden="false" customHeight="false" outlineLevel="0" collapsed="false">
      <c r="A165" s="10"/>
      <c r="B165" s="10"/>
      <c r="C165" s="12"/>
      <c r="D165" s="12"/>
      <c r="E165" s="10"/>
      <c r="F165" s="11"/>
      <c r="G165" s="10"/>
      <c r="H165" s="10"/>
      <c r="I165" s="11"/>
      <c r="J165" s="11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  <c r="W165" s="14" t="str">
        <f aca="false">IF(D165="","",D165-使用说明!$B$20)</f>
        <v/>
      </c>
      <c r="X165" s="14" t="str">
        <f aca="false">IF(D165="","",D165-使用说明!$B$21)</f>
        <v/>
      </c>
      <c r="Y165" s="14" t="str">
        <f aca="false">IF(D165="","",D165-使用说明!$B$22)</f>
        <v/>
      </c>
      <c r="Z165" s="12"/>
      <c r="AA165" s="14" t="str">
        <f aca="false">IF(Z165="","",Z165+21)</f>
        <v/>
      </c>
    </row>
    <row r="166" customFormat="false" ht="15" hidden="false" customHeight="false" outlineLevel="0" collapsed="false">
      <c r="A166" s="10"/>
      <c r="B166" s="10"/>
      <c r="C166" s="12"/>
      <c r="D166" s="12"/>
      <c r="E166" s="10"/>
      <c r="F166" s="11"/>
      <c r="G166" s="10"/>
      <c r="H166" s="10"/>
      <c r="I166" s="11"/>
      <c r="J166" s="11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  <c r="W166" s="14" t="str">
        <f aca="false">IF(D166="","",D166-使用说明!$B$20)</f>
        <v/>
      </c>
      <c r="X166" s="14" t="str">
        <f aca="false">IF(D166="","",D166-使用说明!$B$21)</f>
        <v/>
      </c>
      <c r="Y166" s="14" t="str">
        <f aca="false">IF(D166="","",D166-使用说明!$B$22)</f>
        <v/>
      </c>
      <c r="Z166" s="12"/>
      <c r="AA166" s="14" t="str">
        <f aca="false">IF(Z166="","",Z166+21)</f>
        <v/>
      </c>
    </row>
    <row r="167" customFormat="false" ht="15" hidden="false" customHeight="false" outlineLevel="0" collapsed="false">
      <c r="A167" s="10"/>
      <c r="B167" s="10"/>
      <c r="C167" s="12"/>
      <c r="D167" s="12"/>
      <c r="E167" s="10"/>
      <c r="F167" s="11"/>
      <c r="G167" s="10"/>
      <c r="H167" s="10"/>
      <c r="I167" s="11"/>
      <c r="J167" s="11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  <c r="W167" s="14" t="str">
        <f aca="false">IF(D167="","",D167-使用说明!$B$20)</f>
        <v/>
      </c>
      <c r="X167" s="14" t="str">
        <f aca="false">IF(D167="","",D167-使用说明!$B$21)</f>
        <v/>
      </c>
      <c r="Y167" s="14" t="str">
        <f aca="false">IF(D167="","",D167-使用说明!$B$22)</f>
        <v/>
      </c>
      <c r="Z167" s="12"/>
      <c r="AA167" s="14" t="str">
        <f aca="false">IF(Z167="","",Z167+21)</f>
        <v/>
      </c>
    </row>
    <row r="168" customFormat="false" ht="15" hidden="false" customHeight="false" outlineLevel="0" collapsed="false">
      <c r="A168" s="10"/>
      <c r="B168" s="10"/>
      <c r="C168" s="12"/>
      <c r="D168" s="12"/>
      <c r="E168" s="10"/>
      <c r="F168" s="11"/>
      <c r="G168" s="10"/>
      <c r="H168" s="10"/>
      <c r="I168" s="11"/>
      <c r="J168" s="11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  <c r="W168" s="14" t="str">
        <f aca="false">IF(D168="","",D168-使用说明!$B$20)</f>
        <v/>
      </c>
      <c r="X168" s="14" t="str">
        <f aca="false">IF(D168="","",D168-使用说明!$B$21)</f>
        <v/>
      </c>
      <c r="Y168" s="14" t="str">
        <f aca="false">IF(D168="","",D168-使用说明!$B$22)</f>
        <v/>
      </c>
      <c r="Z168" s="12"/>
      <c r="AA168" s="14" t="str">
        <f aca="false">IF(Z168="","",Z168+21)</f>
        <v/>
      </c>
    </row>
    <row r="169" customFormat="false" ht="15" hidden="false" customHeight="false" outlineLevel="0" collapsed="false">
      <c r="A169" s="10"/>
      <c r="B169" s="10"/>
      <c r="C169" s="12"/>
      <c r="D169" s="12"/>
      <c r="E169" s="10"/>
      <c r="F169" s="11"/>
      <c r="G169" s="10"/>
      <c r="H169" s="10"/>
      <c r="I169" s="11"/>
      <c r="J169" s="11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  <c r="W169" s="14" t="str">
        <f aca="false">IF(D169="","",D169-使用说明!$B$20)</f>
        <v/>
      </c>
      <c r="X169" s="14" t="str">
        <f aca="false">IF(D169="","",D169-使用说明!$B$21)</f>
        <v/>
      </c>
      <c r="Y169" s="14" t="str">
        <f aca="false">IF(D169="","",D169-使用说明!$B$22)</f>
        <v/>
      </c>
      <c r="Z169" s="12"/>
      <c r="AA169" s="14" t="str">
        <f aca="false">IF(Z169="","",Z169+21)</f>
        <v/>
      </c>
    </row>
    <row r="170" customFormat="false" ht="15" hidden="false" customHeight="false" outlineLevel="0" collapsed="false">
      <c r="A170" s="10"/>
      <c r="B170" s="10"/>
      <c r="C170" s="12"/>
      <c r="D170" s="12"/>
      <c r="E170" s="10"/>
      <c r="F170" s="11"/>
      <c r="G170" s="10"/>
      <c r="H170" s="10"/>
      <c r="I170" s="11"/>
      <c r="J170" s="11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  <c r="W170" s="14" t="str">
        <f aca="false">IF(D170="","",D170-使用说明!$B$20)</f>
        <v/>
      </c>
      <c r="X170" s="14" t="str">
        <f aca="false">IF(D170="","",D170-使用说明!$B$21)</f>
        <v/>
      </c>
      <c r="Y170" s="14" t="str">
        <f aca="false">IF(D170="","",D170-使用说明!$B$22)</f>
        <v/>
      </c>
      <c r="Z170" s="12"/>
      <c r="AA170" s="14" t="str">
        <f aca="false">IF(Z170="","",Z170+21)</f>
        <v/>
      </c>
    </row>
    <row r="171" customFormat="false" ht="15" hidden="false" customHeight="false" outlineLevel="0" collapsed="false">
      <c r="A171" s="10"/>
      <c r="B171" s="10"/>
      <c r="C171" s="12"/>
      <c r="D171" s="12"/>
      <c r="E171" s="10"/>
      <c r="F171" s="11"/>
      <c r="G171" s="10"/>
      <c r="H171" s="10"/>
      <c r="I171" s="11"/>
      <c r="J171" s="11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  <c r="W171" s="14" t="str">
        <f aca="false">IF(D171="","",D171-使用说明!$B$20)</f>
        <v/>
      </c>
      <c r="X171" s="14" t="str">
        <f aca="false">IF(D171="","",D171-使用说明!$B$21)</f>
        <v/>
      </c>
      <c r="Y171" s="14" t="str">
        <f aca="false">IF(D171="","",D171-使用说明!$B$22)</f>
        <v/>
      </c>
      <c r="Z171" s="12"/>
      <c r="AA171" s="14" t="str">
        <f aca="false">IF(Z171="","",Z171+21)</f>
        <v/>
      </c>
    </row>
    <row r="172" customFormat="false" ht="15" hidden="false" customHeight="false" outlineLevel="0" collapsed="false">
      <c r="A172" s="10"/>
      <c r="B172" s="10"/>
      <c r="C172" s="12"/>
      <c r="D172" s="12"/>
      <c r="E172" s="10"/>
      <c r="F172" s="11"/>
      <c r="G172" s="10"/>
      <c r="H172" s="10"/>
      <c r="I172" s="11"/>
      <c r="J172" s="11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  <c r="W172" s="14" t="str">
        <f aca="false">IF(D172="","",D172-使用说明!$B$20)</f>
        <v/>
      </c>
      <c r="X172" s="14" t="str">
        <f aca="false">IF(D172="","",D172-使用说明!$B$21)</f>
        <v/>
      </c>
      <c r="Y172" s="14" t="str">
        <f aca="false">IF(D172="","",D172-使用说明!$B$22)</f>
        <v/>
      </c>
      <c r="Z172" s="12"/>
      <c r="AA172" s="14" t="str">
        <f aca="false">IF(Z172="","",Z172+21)</f>
        <v/>
      </c>
    </row>
    <row r="173" customFormat="false" ht="15" hidden="false" customHeight="false" outlineLevel="0" collapsed="false">
      <c r="A173" s="10"/>
      <c r="B173" s="10"/>
      <c r="C173" s="12"/>
      <c r="D173" s="12"/>
      <c r="E173" s="10"/>
      <c r="F173" s="11"/>
      <c r="G173" s="10"/>
      <c r="H173" s="10"/>
      <c r="I173" s="11"/>
      <c r="J173" s="11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  <c r="W173" s="14" t="str">
        <f aca="false">IF(D173="","",D173-使用说明!$B$20)</f>
        <v/>
      </c>
      <c r="X173" s="14" t="str">
        <f aca="false">IF(D173="","",D173-使用说明!$B$21)</f>
        <v/>
      </c>
      <c r="Y173" s="14" t="str">
        <f aca="false">IF(D173="","",D173-使用说明!$B$22)</f>
        <v/>
      </c>
      <c r="Z173" s="12"/>
      <c r="AA173" s="14" t="str">
        <f aca="false">IF(Z173="","",Z173+21)</f>
        <v/>
      </c>
    </row>
    <row r="174" customFormat="false" ht="15" hidden="false" customHeight="false" outlineLevel="0" collapsed="false">
      <c r="A174" s="10"/>
      <c r="B174" s="10"/>
      <c r="C174" s="12"/>
      <c r="D174" s="12"/>
      <c r="E174" s="10"/>
      <c r="F174" s="11"/>
      <c r="G174" s="10"/>
      <c r="H174" s="10"/>
      <c r="I174" s="11"/>
      <c r="J174" s="11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  <c r="W174" s="14" t="str">
        <f aca="false">IF(D174="","",D174-使用说明!$B$20)</f>
        <v/>
      </c>
      <c r="X174" s="14" t="str">
        <f aca="false">IF(D174="","",D174-使用说明!$B$21)</f>
        <v/>
      </c>
      <c r="Y174" s="14" t="str">
        <f aca="false">IF(D174="","",D174-使用说明!$B$22)</f>
        <v/>
      </c>
      <c r="Z174" s="12"/>
      <c r="AA174" s="14" t="str">
        <f aca="false">IF(Z174="","",Z174+21)</f>
        <v/>
      </c>
    </row>
    <row r="175" customFormat="false" ht="15" hidden="false" customHeight="false" outlineLevel="0" collapsed="false">
      <c r="A175" s="10"/>
      <c r="B175" s="10"/>
      <c r="C175" s="12"/>
      <c r="D175" s="12"/>
      <c r="E175" s="10"/>
      <c r="F175" s="11"/>
      <c r="G175" s="10"/>
      <c r="H175" s="10"/>
      <c r="I175" s="11"/>
      <c r="J175" s="11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  <c r="W175" s="14" t="str">
        <f aca="false">IF(D175="","",D175-使用说明!$B$20)</f>
        <v/>
      </c>
      <c r="X175" s="14" t="str">
        <f aca="false">IF(D175="","",D175-使用说明!$B$21)</f>
        <v/>
      </c>
      <c r="Y175" s="14" t="str">
        <f aca="false">IF(D175="","",D175-使用说明!$B$22)</f>
        <v/>
      </c>
      <c r="Z175" s="12"/>
      <c r="AA175" s="14" t="str">
        <f aca="false">IF(Z175="","",Z175+21)</f>
        <v/>
      </c>
    </row>
    <row r="176" customFormat="false" ht="15" hidden="false" customHeight="false" outlineLevel="0" collapsed="false">
      <c r="A176" s="10"/>
      <c r="B176" s="10"/>
      <c r="C176" s="12"/>
      <c r="D176" s="12"/>
      <c r="E176" s="10"/>
      <c r="F176" s="11"/>
      <c r="G176" s="10"/>
      <c r="H176" s="10"/>
      <c r="I176" s="11"/>
      <c r="J176" s="11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  <c r="W176" s="14" t="str">
        <f aca="false">IF(D176="","",D176-使用说明!$B$20)</f>
        <v/>
      </c>
      <c r="X176" s="14" t="str">
        <f aca="false">IF(D176="","",D176-使用说明!$B$21)</f>
        <v/>
      </c>
      <c r="Y176" s="14" t="str">
        <f aca="false">IF(D176="","",D176-使用说明!$B$22)</f>
        <v/>
      </c>
      <c r="Z176" s="12"/>
      <c r="AA176" s="14" t="str">
        <f aca="false">IF(Z176="","",Z176+21)</f>
        <v/>
      </c>
    </row>
    <row r="177" customFormat="false" ht="15" hidden="false" customHeight="false" outlineLevel="0" collapsed="false">
      <c r="A177" s="10"/>
      <c r="B177" s="10"/>
      <c r="C177" s="12"/>
      <c r="D177" s="12"/>
      <c r="E177" s="10"/>
      <c r="F177" s="11"/>
      <c r="G177" s="10"/>
      <c r="H177" s="10"/>
      <c r="I177" s="11"/>
      <c r="J177" s="11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  <c r="W177" s="14" t="str">
        <f aca="false">IF(D177="","",D177-使用说明!$B$20)</f>
        <v/>
      </c>
      <c r="X177" s="14" t="str">
        <f aca="false">IF(D177="","",D177-使用说明!$B$21)</f>
        <v/>
      </c>
      <c r="Y177" s="14" t="str">
        <f aca="false">IF(D177="","",D177-使用说明!$B$22)</f>
        <v/>
      </c>
      <c r="Z177" s="12"/>
      <c r="AA177" s="14" t="str">
        <f aca="false">IF(Z177="","",Z177+21)</f>
        <v/>
      </c>
    </row>
    <row r="178" customFormat="false" ht="15" hidden="false" customHeight="false" outlineLevel="0" collapsed="false">
      <c r="A178" s="10"/>
      <c r="B178" s="10"/>
      <c r="C178" s="12"/>
      <c r="D178" s="12"/>
      <c r="E178" s="10"/>
      <c r="F178" s="11"/>
      <c r="G178" s="10"/>
      <c r="H178" s="10"/>
      <c r="I178" s="11"/>
      <c r="J178" s="11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  <c r="W178" s="14" t="str">
        <f aca="false">IF(D178="","",D178-使用说明!$B$20)</f>
        <v/>
      </c>
      <c r="X178" s="14" t="str">
        <f aca="false">IF(D178="","",D178-使用说明!$B$21)</f>
        <v/>
      </c>
      <c r="Y178" s="14" t="str">
        <f aca="false">IF(D178="","",D178-使用说明!$B$22)</f>
        <v/>
      </c>
      <c r="Z178" s="12"/>
      <c r="AA178" s="14" t="str">
        <f aca="false">IF(Z178="","",Z178+21)</f>
        <v/>
      </c>
    </row>
    <row r="179" customFormat="false" ht="15" hidden="false" customHeight="false" outlineLevel="0" collapsed="false">
      <c r="A179" s="10"/>
      <c r="B179" s="10"/>
      <c r="C179" s="12"/>
      <c r="D179" s="12"/>
      <c r="E179" s="10"/>
      <c r="F179" s="11"/>
      <c r="G179" s="10"/>
      <c r="H179" s="10"/>
      <c r="I179" s="11"/>
      <c r="J179" s="11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  <c r="W179" s="14" t="str">
        <f aca="false">IF(D179="","",D179-使用说明!$B$20)</f>
        <v/>
      </c>
      <c r="X179" s="14" t="str">
        <f aca="false">IF(D179="","",D179-使用说明!$B$21)</f>
        <v/>
      </c>
      <c r="Y179" s="14" t="str">
        <f aca="false">IF(D179="","",D179-使用说明!$B$22)</f>
        <v/>
      </c>
      <c r="Z179" s="12"/>
      <c r="AA179" s="14" t="str">
        <f aca="false">IF(Z179="","",Z179+21)</f>
        <v/>
      </c>
    </row>
    <row r="180" customFormat="false" ht="15" hidden="false" customHeight="false" outlineLevel="0" collapsed="false">
      <c r="A180" s="10"/>
      <c r="B180" s="10"/>
      <c r="C180" s="12"/>
      <c r="D180" s="12"/>
      <c r="E180" s="10"/>
      <c r="F180" s="11"/>
      <c r="G180" s="10"/>
      <c r="H180" s="10"/>
      <c r="I180" s="11"/>
      <c r="J180" s="11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  <c r="W180" s="14" t="str">
        <f aca="false">IF(D180="","",D180-使用说明!$B$20)</f>
        <v/>
      </c>
      <c r="X180" s="14" t="str">
        <f aca="false">IF(D180="","",D180-使用说明!$B$21)</f>
        <v/>
      </c>
      <c r="Y180" s="14" t="str">
        <f aca="false">IF(D180="","",D180-使用说明!$B$22)</f>
        <v/>
      </c>
      <c r="Z180" s="12"/>
      <c r="AA180" s="14" t="str">
        <f aca="false">IF(Z180="","",Z180+21)</f>
        <v/>
      </c>
    </row>
    <row r="181" customFormat="false" ht="15" hidden="false" customHeight="false" outlineLevel="0" collapsed="false">
      <c r="A181" s="10"/>
      <c r="B181" s="10"/>
      <c r="C181" s="12"/>
      <c r="D181" s="12"/>
      <c r="E181" s="10"/>
      <c r="F181" s="11"/>
      <c r="G181" s="10"/>
      <c r="H181" s="10"/>
      <c r="I181" s="11"/>
      <c r="J181" s="11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  <c r="W181" s="14" t="str">
        <f aca="false">IF(D181="","",D181-使用说明!$B$20)</f>
        <v/>
      </c>
      <c r="X181" s="14" t="str">
        <f aca="false">IF(D181="","",D181-使用说明!$B$21)</f>
        <v/>
      </c>
      <c r="Y181" s="14" t="str">
        <f aca="false">IF(D181="","",D181-使用说明!$B$22)</f>
        <v/>
      </c>
      <c r="Z181" s="12"/>
      <c r="AA181" s="14" t="str">
        <f aca="false">IF(Z181="","",Z181+21)</f>
        <v/>
      </c>
    </row>
    <row r="182" customFormat="false" ht="15" hidden="false" customHeight="false" outlineLevel="0" collapsed="false">
      <c r="A182" s="10"/>
      <c r="B182" s="10"/>
      <c r="C182" s="12"/>
      <c r="D182" s="12"/>
      <c r="E182" s="10"/>
      <c r="F182" s="11"/>
      <c r="G182" s="10"/>
      <c r="H182" s="10"/>
      <c r="I182" s="11"/>
      <c r="J182" s="11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  <c r="W182" s="14" t="str">
        <f aca="false">IF(D182="","",D182-使用说明!$B$20)</f>
        <v/>
      </c>
      <c r="X182" s="14" t="str">
        <f aca="false">IF(D182="","",D182-使用说明!$B$21)</f>
        <v/>
      </c>
      <c r="Y182" s="14" t="str">
        <f aca="false">IF(D182="","",D182-使用说明!$B$22)</f>
        <v/>
      </c>
      <c r="Z182" s="12"/>
      <c r="AA182" s="14" t="str">
        <f aca="false">IF(Z182="","",Z182+21)</f>
        <v/>
      </c>
    </row>
    <row r="183" customFormat="false" ht="15" hidden="false" customHeight="false" outlineLevel="0" collapsed="false">
      <c r="A183" s="10"/>
      <c r="B183" s="10"/>
      <c r="C183" s="12"/>
      <c r="D183" s="12"/>
      <c r="E183" s="10"/>
      <c r="F183" s="11"/>
      <c r="G183" s="10"/>
      <c r="H183" s="10"/>
      <c r="I183" s="11"/>
      <c r="J183" s="11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  <c r="W183" s="14" t="str">
        <f aca="false">IF(D183="","",D183-使用说明!$B$20)</f>
        <v/>
      </c>
      <c r="X183" s="14" t="str">
        <f aca="false">IF(D183="","",D183-使用说明!$B$21)</f>
        <v/>
      </c>
      <c r="Y183" s="14" t="str">
        <f aca="false">IF(D183="","",D183-使用说明!$B$22)</f>
        <v/>
      </c>
      <c r="Z183" s="12"/>
      <c r="AA183" s="14" t="str">
        <f aca="false">IF(Z183="","",Z183+21)</f>
        <v/>
      </c>
    </row>
    <row r="184" customFormat="false" ht="15" hidden="false" customHeight="false" outlineLevel="0" collapsed="false">
      <c r="A184" s="10"/>
      <c r="B184" s="10"/>
      <c r="C184" s="12"/>
      <c r="D184" s="12"/>
      <c r="E184" s="10"/>
      <c r="F184" s="11"/>
      <c r="G184" s="10"/>
      <c r="H184" s="10"/>
      <c r="I184" s="11"/>
      <c r="J184" s="11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  <c r="W184" s="14" t="str">
        <f aca="false">IF(D184="","",D184-使用说明!$B$20)</f>
        <v/>
      </c>
      <c r="X184" s="14" t="str">
        <f aca="false">IF(D184="","",D184-使用说明!$B$21)</f>
        <v/>
      </c>
      <c r="Y184" s="14" t="str">
        <f aca="false">IF(D184="","",D184-使用说明!$B$22)</f>
        <v/>
      </c>
      <c r="Z184" s="12"/>
      <c r="AA184" s="14" t="str">
        <f aca="false">IF(Z184="","",Z184+21)</f>
        <v/>
      </c>
    </row>
    <row r="185" customFormat="false" ht="15" hidden="false" customHeight="false" outlineLevel="0" collapsed="false">
      <c r="A185" s="10"/>
      <c r="B185" s="10"/>
      <c r="C185" s="12"/>
      <c r="D185" s="12"/>
      <c r="E185" s="10"/>
      <c r="F185" s="11"/>
      <c r="G185" s="10"/>
      <c r="H185" s="10"/>
      <c r="I185" s="11"/>
      <c r="J185" s="11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  <c r="W185" s="14" t="str">
        <f aca="false">IF(D185="","",D185-使用说明!$B$20)</f>
        <v/>
      </c>
      <c r="X185" s="14" t="str">
        <f aca="false">IF(D185="","",D185-使用说明!$B$21)</f>
        <v/>
      </c>
      <c r="Y185" s="14" t="str">
        <f aca="false">IF(D185="","",D185-使用说明!$B$22)</f>
        <v/>
      </c>
      <c r="Z185" s="12"/>
      <c r="AA185" s="14" t="str">
        <f aca="false">IF(Z185="","",Z185+21)</f>
        <v/>
      </c>
    </row>
    <row r="186" customFormat="false" ht="15" hidden="false" customHeight="false" outlineLevel="0" collapsed="false">
      <c r="A186" s="10"/>
      <c r="B186" s="10"/>
      <c r="C186" s="12"/>
      <c r="D186" s="12"/>
      <c r="E186" s="10"/>
      <c r="F186" s="11"/>
      <c r="G186" s="10"/>
      <c r="H186" s="10"/>
      <c r="I186" s="11"/>
      <c r="J186" s="11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  <c r="W186" s="14" t="str">
        <f aca="false">IF(D186="","",D186-使用说明!$B$20)</f>
        <v/>
      </c>
      <c r="X186" s="14" t="str">
        <f aca="false">IF(D186="","",D186-使用说明!$B$21)</f>
        <v/>
      </c>
      <c r="Y186" s="14" t="str">
        <f aca="false">IF(D186="","",D186-使用说明!$B$22)</f>
        <v/>
      </c>
      <c r="Z186" s="12"/>
      <c r="AA186" s="14" t="str">
        <f aca="false">IF(Z186="","",Z186+21)</f>
        <v/>
      </c>
    </row>
    <row r="187" customFormat="false" ht="15" hidden="false" customHeight="false" outlineLevel="0" collapsed="false">
      <c r="A187" s="10"/>
      <c r="B187" s="10"/>
      <c r="C187" s="12"/>
      <c r="D187" s="12"/>
      <c r="E187" s="10"/>
      <c r="F187" s="11"/>
      <c r="G187" s="10"/>
      <c r="H187" s="10"/>
      <c r="I187" s="11"/>
      <c r="J187" s="11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  <c r="W187" s="14" t="str">
        <f aca="false">IF(D187="","",D187-使用说明!$B$20)</f>
        <v/>
      </c>
      <c r="X187" s="14" t="str">
        <f aca="false">IF(D187="","",D187-使用说明!$B$21)</f>
        <v/>
      </c>
      <c r="Y187" s="14" t="str">
        <f aca="false">IF(D187="","",D187-使用说明!$B$22)</f>
        <v/>
      </c>
      <c r="Z187" s="12"/>
      <c r="AA187" s="14" t="str">
        <f aca="false">IF(Z187="","",Z187+21)</f>
        <v/>
      </c>
    </row>
    <row r="188" customFormat="false" ht="15" hidden="false" customHeight="false" outlineLevel="0" collapsed="false">
      <c r="A188" s="10"/>
      <c r="B188" s="10"/>
      <c r="C188" s="12"/>
      <c r="D188" s="12"/>
      <c r="E188" s="10"/>
      <c r="F188" s="11"/>
      <c r="G188" s="10"/>
      <c r="H188" s="10"/>
      <c r="I188" s="11"/>
      <c r="J188" s="11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  <c r="W188" s="14" t="str">
        <f aca="false">IF(D188="","",D188-使用说明!$B$20)</f>
        <v/>
      </c>
      <c r="X188" s="14" t="str">
        <f aca="false">IF(D188="","",D188-使用说明!$B$21)</f>
        <v/>
      </c>
      <c r="Y188" s="14" t="str">
        <f aca="false">IF(D188="","",D188-使用说明!$B$22)</f>
        <v/>
      </c>
      <c r="Z188" s="12"/>
      <c r="AA188" s="14" t="str">
        <f aca="false">IF(Z188="","",Z188+21)</f>
        <v/>
      </c>
    </row>
    <row r="189" customFormat="false" ht="15" hidden="false" customHeight="false" outlineLevel="0" collapsed="false">
      <c r="A189" s="10"/>
      <c r="B189" s="10"/>
      <c r="C189" s="12"/>
      <c r="D189" s="12"/>
      <c r="E189" s="10"/>
      <c r="F189" s="11"/>
      <c r="G189" s="10"/>
      <c r="H189" s="10"/>
      <c r="I189" s="11"/>
      <c r="J189" s="11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  <c r="W189" s="14" t="str">
        <f aca="false">IF(D189="","",D189-使用说明!$B$20)</f>
        <v/>
      </c>
      <c r="X189" s="14" t="str">
        <f aca="false">IF(D189="","",D189-使用说明!$B$21)</f>
        <v/>
      </c>
      <c r="Y189" s="14" t="str">
        <f aca="false">IF(D189="","",D189-使用说明!$B$22)</f>
        <v/>
      </c>
      <c r="Z189" s="12"/>
      <c r="AA189" s="14" t="str">
        <f aca="false">IF(Z189="","",Z189+21)</f>
        <v/>
      </c>
    </row>
    <row r="190" customFormat="false" ht="15" hidden="false" customHeight="false" outlineLevel="0" collapsed="false">
      <c r="A190" s="10"/>
      <c r="B190" s="10"/>
      <c r="C190" s="12"/>
      <c r="D190" s="12"/>
      <c r="E190" s="10"/>
      <c r="F190" s="11"/>
      <c r="G190" s="10"/>
      <c r="H190" s="10"/>
      <c r="I190" s="11"/>
      <c r="J190" s="11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  <c r="W190" s="14" t="str">
        <f aca="false">IF(D190="","",D190-使用说明!$B$20)</f>
        <v/>
      </c>
      <c r="X190" s="14" t="str">
        <f aca="false">IF(D190="","",D190-使用说明!$B$21)</f>
        <v/>
      </c>
      <c r="Y190" s="14" t="str">
        <f aca="false">IF(D190="","",D190-使用说明!$B$22)</f>
        <v/>
      </c>
      <c r="Z190" s="12"/>
      <c r="AA190" s="14" t="str">
        <f aca="false">IF(Z190="","",Z190+21)</f>
        <v/>
      </c>
    </row>
    <row r="191" customFormat="false" ht="15" hidden="false" customHeight="false" outlineLevel="0" collapsed="false">
      <c r="A191" s="10"/>
      <c r="B191" s="10"/>
      <c r="C191" s="12"/>
      <c r="D191" s="12"/>
      <c r="E191" s="10"/>
      <c r="F191" s="11"/>
      <c r="G191" s="10"/>
      <c r="H191" s="10"/>
      <c r="I191" s="11"/>
      <c r="J191" s="11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  <c r="W191" s="14" t="str">
        <f aca="false">IF(D191="","",D191-使用说明!$B$20)</f>
        <v/>
      </c>
      <c r="X191" s="14" t="str">
        <f aca="false">IF(D191="","",D191-使用说明!$B$21)</f>
        <v/>
      </c>
      <c r="Y191" s="14" t="str">
        <f aca="false">IF(D191="","",D191-使用说明!$B$22)</f>
        <v/>
      </c>
      <c r="Z191" s="12"/>
      <c r="AA191" s="14" t="str">
        <f aca="false">IF(Z191="","",Z191+21)</f>
        <v/>
      </c>
    </row>
    <row r="192" customFormat="false" ht="15" hidden="false" customHeight="false" outlineLevel="0" collapsed="false">
      <c r="A192" s="10"/>
      <c r="B192" s="10"/>
      <c r="C192" s="12"/>
      <c r="D192" s="12"/>
      <c r="E192" s="10"/>
      <c r="F192" s="11"/>
      <c r="G192" s="10"/>
      <c r="H192" s="10"/>
      <c r="I192" s="11"/>
      <c r="J192" s="11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  <c r="W192" s="14" t="str">
        <f aca="false">IF(D192="","",D192-使用说明!$B$20)</f>
        <v/>
      </c>
      <c r="X192" s="14" t="str">
        <f aca="false">IF(D192="","",D192-使用说明!$B$21)</f>
        <v/>
      </c>
      <c r="Y192" s="14" t="str">
        <f aca="false">IF(D192="","",D192-使用说明!$B$22)</f>
        <v/>
      </c>
      <c r="Z192" s="12"/>
      <c r="AA192" s="14" t="str">
        <f aca="false">IF(Z192="","",Z192+21)</f>
        <v/>
      </c>
    </row>
    <row r="193" customFormat="false" ht="15" hidden="false" customHeight="false" outlineLevel="0" collapsed="false">
      <c r="A193" s="10"/>
      <c r="B193" s="10"/>
      <c r="C193" s="12"/>
      <c r="D193" s="12"/>
      <c r="E193" s="10"/>
      <c r="F193" s="11"/>
      <c r="G193" s="10"/>
      <c r="H193" s="10"/>
      <c r="I193" s="11"/>
      <c r="J193" s="11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  <c r="W193" s="14" t="str">
        <f aca="false">IF(D193="","",D193-使用说明!$B$20)</f>
        <v/>
      </c>
      <c r="X193" s="14" t="str">
        <f aca="false">IF(D193="","",D193-使用说明!$B$21)</f>
        <v/>
      </c>
      <c r="Y193" s="14" t="str">
        <f aca="false">IF(D193="","",D193-使用说明!$B$22)</f>
        <v/>
      </c>
      <c r="Z193" s="12"/>
      <c r="AA193" s="14" t="str">
        <f aca="false">IF(Z193="","",Z193+21)</f>
        <v/>
      </c>
    </row>
    <row r="194" customFormat="false" ht="15" hidden="false" customHeight="false" outlineLevel="0" collapsed="false">
      <c r="A194" s="10"/>
      <c r="B194" s="10"/>
      <c r="C194" s="12"/>
      <c r="D194" s="12"/>
      <c r="E194" s="10"/>
      <c r="F194" s="11"/>
      <c r="G194" s="10"/>
      <c r="H194" s="10"/>
      <c r="I194" s="11"/>
      <c r="J194" s="11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  <c r="W194" s="14" t="str">
        <f aca="false">IF(D194="","",D194-使用说明!$B$20)</f>
        <v/>
      </c>
      <c r="X194" s="14" t="str">
        <f aca="false">IF(D194="","",D194-使用说明!$B$21)</f>
        <v/>
      </c>
      <c r="Y194" s="14" t="str">
        <f aca="false">IF(D194="","",D194-使用说明!$B$22)</f>
        <v/>
      </c>
      <c r="Z194" s="12"/>
      <c r="AA194" s="14" t="str">
        <f aca="false">IF(Z194="","",Z194+21)</f>
        <v/>
      </c>
    </row>
    <row r="195" customFormat="false" ht="15" hidden="false" customHeight="false" outlineLevel="0" collapsed="false">
      <c r="A195" s="10"/>
      <c r="B195" s="10"/>
      <c r="C195" s="12"/>
      <c r="D195" s="12"/>
      <c r="E195" s="10"/>
      <c r="F195" s="11"/>
      <c r="G195" s="10"/>
      <c r="H195" s="10"/>
      <c r="I195" s="11"/>
      <c r="J195" s="11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  <c r="W195" s="14" t="str">
        <f aca="false">IF(D195="","",D195-使用说明!$B$20)</f>
        <v/>
      </c>
      <c r="X195" s="14" t="str">
        <f aca="false">IF(D195="","",D195-使用说明!$B$21)</f>
        <v/>
      </c>
      <c r="Y195" s="14" t="str">
        <f aca="false">IF(D195="","",D195-使用说明!$B$22)</f>
        <v/>
      </c>
      <c r="Z195" s="12"/>
      <c r="AA195" s="14" t="str">
        <f aca="false">IF(Z195="","",Z195+21)</f>
        <v/>
      </c>
    </row>
    <row r="196" customFormat="false" ht="15" hidden="false" customHeight="false" outlineLevel="0" collapsed="false">
      <c r="A196" s="10"/>
      <c r="B196" s="10"/>
      <c r="C196" s="12"/>
      <c r="D196" s="12"/>
      <c r="E196" s="10"/>
      <c r="F196" s="11"/>
      <c r="G196" s="10"/>
      <c r="H196" s="10"/>
      <c r="I196" s="11"/>
      <c r="J196" s="11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  <c r="W196" s="14" t="str">
        <f aca="false">IF(D196="","",D196-使用说明!$B$20)</f>
        <v/>
      </c>
      <c r="X196" s="14" t="str">
        <f aca="false">IF(D196="","",D196-使用说明!$B$21)</f>
        <v/>
      </c>
      <c r="Y196" s="14" t="str">
        <f aca="false">IF(D196="","",D196-使用说明!$B$22)</f>
        <v/>
      </c>
      <c r="Z196" s="12"/>
      <c r="AA196" s="14" t="str">
        <f aca="false">IF(Z196="","",Z196+21)</f>
        <v/>
      </c>
    </row>
    <row r="197" customFormat="false" ht="15" hidden="false" customHeight="false" outlineLevel="0" collapsed="false">
      <c r="A197" s="10"/>
      <c r="B197" s="10"/>
      <c r="C197" s="12"/>
      <c r="D197" s="12"/>
      <c r="E197" s="10"/>
      <c r="F197" s="11"/>
      <c r="G197" s="10"/>
      <c r="H197" s="10"/>
      <c r="I197" s="11"/>
      <c r="J197" s="11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  <c r="W197" s="14" t="str">
        <f aca="false">IF(D197="","",D197-使用说明!$B$20)</f>
        <v/>
      </c>
      <c r="X197" s="14" t="str">
        <f aca="false">IF(D197="","",D197-使用说明!$B$21)</f>
        <v/>
      </c>
      <c r="Y197" s="14" t="str">
        <f aca="false">IF(D197="","",D197-使用说明!$B$22)</f>
        <v/>
      </c>
      <c r="Z197" s="12"/>
      <c r="AA197" s="14" t="str">
        <f aca="false">IF(Z197="","",Z197+21)</f>
        <v/>
      </c>
    </row>
    <row r="198" customFormat="false" ht="15" hidden="false" customHeight="false" outlineLevel="0" collapsed="false">
      <c r="A198" s="10"/>
      <c r="B198" s="10"/>
      <c r="C198" s="12"/>
      <c r="D198" s="12"/>
      <c r="E198" s="10"/>
      <c r="F198" s="11"/>
      <c r="G198" s="10"/>
      <c r="H198" s="10"/>
      <c r="I198" s="11"/>
      <c r="J198" s="11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  <c r="W198" s="14" t="str">
        <f aca="false">IF(D198="","",D198-使用说明!$B$20)</f>
        <v/>
      </c>
      <c r="X198" s="14" t="str">
        <f aca="false">IF(D198="","",D198-使用说明!$B$21)</f>
        <v/>
      </c>
      <c r="Y198" s="14" t="str">
        <f aca="false">IF(D198="","",D198-使用说明!$B$22)</f>
        <v/>
      </c>
      <c r="Z198" s="12"/>
      <c r="AA198" s="14" t="str">
        <f aca="false">IF(Z198="","",Z198+21)</f>
        <v/>
      </c>
    </row>
    <row r="199" customFormat="false" ht="15" hidden="false" customHeight="false" outlineLevel="0" collapsed="false">
      <c r="A199" s="10"/>
      <c r="B199" s="10"/>
      <c r="C199" s="12"/>
      <c r="D199" s="12"/>
      <c r="E199" s="10"/>
      <c r="F199" s="11"/>
      <c r="G199" s="10"/>
      <c r="H199" s="10"/>
      <c r="I199" s="11"/>
      <c r="J199" s="11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  <c r="W199" s="14" t="str">
        <f aca="false">IF(D199="","",D199-使用说明!$B$20)</f>
        <v/>
      </c>
      <c r="X199" s="14" t="str">
        <f aca="false">IF(D199="","",D199-使用说明!$B$21)</f>
        <v/>
      </c>
      <c r="Y199" s="14" t="str">
        <f aca="false">IF(D199="","",D199-使用说明!$B$22)</f>
        <v/>
      </c>
      <c r="Z199" s="12"/>
      <c r="AA199" s="14" t="str">
        <f aca="false">IF(Z199="","",Z199+21)</f>
        <v/>
      </c>
    </row>
    <row r="200" customFormat="false" ht="15" hidden="false" customHeight="false" outlineLevel="0" collapsed="false">
      <c r="A200" s="10"/>
      <c r="B200" s="10"/>
      <c r="C200" s="12"/>
      <c r="D200" s="12"/>
      <c r="E200" s="10"/>
      <c r="F200" s="11"/>
      <c r="G200" s="10"/>
      <c r="H200" s="10"/>
      <c r="I200" s="11"/>
      <c r="J200" s="11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  <c r="W200" s="14" t="str">
        <f aca="false">IF(D200="","",D200-使用说明!$B$20)</f>
        <v/>
      </c>
      <c r="X200" s="14" t="str">
        <f aca="false">IF(D200="","",D200-使用说明!$B$21)</f>
        <v/>
      </c>
      <c r="Y200" s="14" t="str">
        <f aca="false">IF(D200="","",D200-使用说明!$B$22)</f>
        <v/>
      </c>
      <c r="Z200" s="12"/>
      <c r="AA200" s="14" t="str">
        <f aca="false">IF(Z200="","",Z200+21)</f>
        <v/>
      </c>
    </row>
  </sheetData>
  <autoFilter ref="A1:AA200"/>
  <dataValidations count="10">
    <dataValidation allowBlank="true" errorStyle="stop" operator="between" showDropDown="false" showErrorMessage="false" showInputMessage="false" sqref="E2:E200" type="list">
      <formula1>"定期,月租"</formula1>
      <formula2>0</formula2>
    </dataValidation>
    <dataValidation allowBlank="true" errorStyle="stop" operator="between" showDropDown="false" showErrorMessage="false" showInputMessage="false" sqref="K2:K200" type="list">
      <formula1>"业主,信托,未知"</formula1>
      <formula2>0</formula2>
    </dataValidation>
    <dataValidation allowBlank="true" errorStyle="stop" operator="between" showDropDown="false" showErrorMessage="false" showInputMessage="false" sqref="L2:L200" type="list">
      <formula1>"适用,豁免(有声明),豁免(缺声明),未知"</formula1>
      <formula2>0</formula2>
    </dataValidation>
    <dataValidation allowBlank="true" errorStyle="stop" operator="between" showDropDown="false" showErrorMessage="false" showInputMessage="false" sqref="N2:N200" type="list">
      <formula1>"有,无,未知"</formula1>
      <formula2>0</formula2>
    </dataValidation>
    <dataValidation allowBlank="true" errorStyle="stop" operator="between" showDropDown="false" showErrorMessage="false" showInputMessage="false" sqref="O2:O200" type="list">
      <formula1>"租客,业主,未知"</formula1>
      <formula2>0</formula2>
    </dataValidation>
    <dataValidation allowBlank="true" errorStyle="stop" operator="between" showDropDown="false" showErrorMessage="false" showInputMessage="false" sqref="P2:P200" type="list">
      <formula1>"租客,业主,未知"</formula1>
      <formula2>0</formula2>
    </dataValidation>
    <dataValidation allowBlank="true" errorStyle="stop" operator="between" showDropDown="false" showErrorMessage="false" showInputMessage="false" sqref="Q2:Q200" type="list">
      <formula1>"租客,业主,未知"</formula1>
      <formula2>0</formula2>
    </dataValidation>
    <dataValidation allowBlank="true" errorStyle="stop" operator="between" showDropDown="false" showErrorMessage="false" showInputMessage="false" sqref="R2:R200" type="list">
      <formula1>"租客,业主,未知"</formula1>
      <formula2>0</formula2>
    </dataValidation>
    <dataValidation allowBlank="true" errorStyle="stop" operator="between" showDropDown="false" showErrorMessage="false" showInputMessage="false" sqref="S2:S200" type="list">
      <formula1>"租客,业主,未知"</formula1>
      <formula2>0</formula2>
    </dataValidation>
    <dataValidation allowBlank="true" errorStyle="stop" operator="between" showDropDown="false" showErrorMessage="false" showInputMessage="false" sqref="T2:T200" type="list">
      <formula1>"租客,业主,未知"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6" hidden="false" customHeight="true" outlineLevel="0" collapsed="false">
      <c r="A1" s="8" t="s">
        <v>46</v>
      </c>
      <c r="B1" s="8" t="s">
        <v>65</v>
      </c>
      <c r="C1" s="8" t="s">
        <v>95</v>
      </c>
      <c r="D1" s="8" t="s">
        <v>96</v>
      </c>
      <c r="E1" s="8" t="s">
        <v>97</v>
      </c>
      <c r="F1" s="8" t="s">
        <v>98</v>
      </c>
      <c r="G1" s="8" t="s">
        <v>99</v>
      </c>
      <c r="H1" s="8" t="s">
        <v>100</v>
      </c>
      <c r="I1" s="8" t="s">
        <v>101</v>
      </c>
      <c r="J1" s="8" t="s">
        <v>102</v>
      </c>
      <c r="K1" s="8" t="s">
        <v>56</v>
      </c>
    </row>
    <row r="2" customFormat="false" ht="15" hidden="false" customHeight="false" outlineLevel="0" collapsed="false">
      <c r="A2" s="10"/>
      <c r="B2" s="10"/>
      <c r="C2" s="10"/>
      <c r="D2" s="10"/>
      <c r="E2" s="12"/>
      <c r="F2" s="10"/>
      <c r="G2" s="10"/>
      <c r="H2" s="10"/>
      <c r="I2" s="10"/>
      <c r="J2" s="12"/>
      <c r="K2" s="10"/>
    </row>
    <row r="3" customFormat="false" ht="15" hidden="false" customHeight="false" outlineLevel="0" collapsed="false">
      <c r="A3" s="10"/>
      <c r="B3" s="10"/>
      <c r="C3" s="10"/>
      <c r="D3" s="10"/>
      <c r="E3" s="12"/>
      <c r="F3" s="10"/>
      <c r="G3" s="10"/>
      <c r="H3" s="10"/>
      <c r="I3" s="10"/>
      <c r="J3" s="12"/>
      <c r="K3" s="10"/>
    </row>
    <row r="4" customFormat="false" ht="15" hidden="false" customHeight="false" outlineLevel="0" collapsed="false">
      <c r="A4" s="10"/>
      <c r="B4" s="10"/>
      <c r="C4" s="10"/>
      <c r="D4" s="10"/>
      <c r="E4" s="12"/>
      <c r="F4" s="10"/>
      <c r="G4" s="10"/>
      <c r="H4" s="10"/>
      <c r="I4" s="10"/>
      <c r="J4" s="12"/>
      <c r="K4" s="10"/>
    </row>
    <row r="5" customFormat="false" ht="15" hidden="false" customHeight="false" outlineLevel="0" collapsed="false">
      <c r="A5" s="10"/>
      <c r="B5" s="10"/>
      <c r="C5" s="10"/>
      <c r="D5" s="10"/>
      <c r="E5" s="12"/>
      <c r="F5" s="10"/>
      <c r="G5" s="10"/>
      <c r="H5" s="10"/>
      <c r="I5" s="10"/>
      <c r="J5" s="12"/>
      <c r="K5" s="10"/>
    </row>
    <row r="6" customFormat="false" ht="15" hidden="false" customHeight="false" outlineLevel="0" collapsed="false">
      <c r="A6" s="10"/>
      <c r="B6" s="10"/>
      <c r="C6" s="10"/>
      <c r="D6" s="10"/>
      <c r="E6" s="12"/>
      <c r="F6" s="10"/>
      <c r="G6" s="10"/>
      <c r="H6" s="10"/>
      <c r="I6" s="10"/>
      <c r="J6" s="12"/>
      <c r="K6" s="10"/>
    </row>
    <row r="7" customFormat="false" ht="15" hidden="false" customHeight="false" outlineLevel="0" collapsed="false">
      <c r="A7" s="10"/>
      <c r="B7" s="10"/>
      <c r="C7" s="10"/>
      <c r="D7" s="10"/>
      <c r="E7" s="12"/>
      <c r="F7" s="10"/>
      <c r="G7" s="10"/>
      <c r="H7" s="10"/>
      <c r="I7" s="10"/>
      <c r="J7" s="12"/>
      <c r="K7" s="10"/>
    </row>
    <row r="8" customFormat="false" ht="15" hidden="false" customHeight="false" outlineLevel="0" collapsed="false">
      <c r="A8" s="10"/>
      <c r="B8" s="10"/>
      <c r="C8" s="10"/>
      <c r="D8" s="10"/>
      <c r="E8" s="12"/>
      <c r="F8" s="10"/>
      <c r="G8" s="10"/>
      <c r="H8" s="10"/>
      <c r="I8" s="10"/>
      <c r="J8" s="12"/>
      <c r="K8" s="10"/>
    </row>
    <row r="9" customFormat="false" ht="15" hidden="false" customHeight="false" outlineLevel="0" collapsed="false">
      <c r="A9" s="10"/>
      <c r="B9" s="10"/>
      <c r="C9" s="10"/>
      <c r="D9" s="10"/>
      <c r="E9" s="12"/>
      <c r="F9" s="10"/>
      <c r="G9" s="10"/>
      <c r="H9" s="10"/>
      <c r="I9" s="10"/>
      <c r="J9" s="12"/>
      <c r="K9" s="10"/>
    </row>
    <row r="10" customFormat="false" ht="15" hidden="false" customHeight="false" outlineLevel="0" collapsed="false">
      <c r="A10" s="10"/>
      <c r="B10" s="10"/>
      <c r="C10" s="10"/>
      <c r="D10" s="10"/>
      <c r="E10" s="12"/>
      <c r="F10" s="10"/>
      <c r="G10" s="10"/>
      <c r="H10" s="10"/>
      <c r="I10" s="10"/>
      <c r="J10" s="12"/>
      <c r="K10" s="10"/>
    </row>
    <row r="11" customFormat="false" ht="15" hidden="false" customHeight="false" outlineLevel="0" collapsed="false">
      <c r="A11" s="10"/>
      <c r="B11" s="10"/>
      <c r="C11" s="10"/>
      <c r="D11" s="10"/>
      <c r="E11" s="12"/>
      <c r="F11" s="10"/>
      <c r="G11" s="10"/>
      <c r="H11" s="10"/>
      <c r="I11" s="10"/>
      <c r="J11" s="12"/>
      <c r="K11" s="10"/>
    </row>
    <row r="12" customFormat="false" ht="15" hidden="false" customHeight="false" outlineLevel="0" collapsed="false">
      <c r="A12" s="10"/>
      <c r="B12" s="10"/>
      <c r="C12" s="10"/>
      <c r="D12" s="10"/>
      <c r="E12" s="12"/>
      <c r="F12" s="10"/>
      <c r="G12" s="10"/>
      <c r="H12" s="10"/>
      <c r="I12" s="10"/>
      <c r="J12" s="12"/>
      <c r="K12" s="10"/>
    </row>
    <row r="13" customFormat="false" ht="15" hidden="false" customHeight="false" outlineLevel="0" collapsed="false">
      <c r="A13" s="10"/>
      <c r="B13" s="10"/>
      <c r="C13" s="10"/>
      <c r="D13" s="10"/>
      <c r="E13" s="12"/>
      <c r="F13" s="10"/>
      <c r="G13" s="10"/>
      <c r="H13" s="10"/>
      <c r="I13" s="10"/>
      <c r="J13" s="12"/>
      <c r="K13" s="10"/>
    </row>
    <row r="14" customFormat="false" ht="15" hidden="false" customHeight="false" outlineLevel="0" collapsed="false">
      <c r="A14" s="10"/>
      <c r="B14" s="10"/>
      <c r="C14" s="10"/>
      <c r="D14" s="10"/>
      <c r="E14" s="12"/>
      <c r="F14" s="10"/>
      <c r="G14" s="10"/>
      <c r="H14" s="10"/>
      <c r="I14" s="10"/>
      <c r="J14" s="12"/>
      <c r="K14" s="10"/>
    </row>
    <row r="15" customFormat="false" ht="15" hidden="false" customHeight="false" outlineLevel="0" collapsed="false">
      <c r="A15" s="10"/>
      <c r="B15" s="10"/>
      <c r="C15" s="10"/>
      <c r="D15" s="10"/>
      <c r="E15" s="12"/>
      <c r="F15" s="10"/>
      <c r="G15" s="10"/>
      <c r="H15" s="10"/>
      <c r="I15" s="10"/>
      <c r="J15" s="12"/>
      <c r="K15" s="10"/>
    </row>
    <row r="16" customFormat="false" ht="15" hidden="false" customHeight="false" outlineLevel="0" collapsed="false">
      <c r="A16" s="10"/>
      <c r="B16" s="10"/>
      <c r="C16" s="10"/>
      <c r="D16" s="10"/>
      <c r="E16" s="12"/>
      <c r="F16" s="10"/>
      <c r="G16" s="10"/>
      <c r="H16" s="10"/>
      <c r="I16" s="10"/>
      <c r="J16" s="12"/>
      <c r="K16" s="10"/>
    </row>
    <row r="17" customFormat="false" ht="15" hidden="false" customHeight="false" outlineLevel="0" collapsed="false">
      <c r="A17" s="10"/>
      <c r="B17" s="10"/>
      <c r="C17" s="10"/>
      <c r="D17" s="10"/>
      <c r="E17" s="12"/>
      <c r="F17" s="10"/>
      <c r="G17" s="10"/>
      <c r="H17" s="10"/>
      <c r="I17" s="10"/>
      <c r="J17" s="12"/>
      <c r="K17" s="10"/>
    </row>
    <row r="18" customFormat="false" ht="15" hidden="false" customHeight="false" outlineLevel="0" collapsed="false">
      <c r="A18" s="10"/>
      <c r="B18" s="10"/>
      <c r="C18" s="10"/>
      <c r="D18" s="10"/>
      <c r="E18" s="12"/>
      <c r="F18" s="10"/>
      <c r="G18" s="10"/>
      <c r="H18" s="10"/>
      <c r="I18" s="10"/>
      <c r="J18" s="12"/>
      <c r="K18" s="10"/>
    </row>
    <row r="19" customFormat="false" ht="15" hidden="false" customHeight="false" outlineLevel="0" collapsed="false">
      <c r="A19" s="10"/>
      <c r="B19" s="10"/>
      <c r="C19" s="10"/>
      <c r="D19" s="10"/>
      <c r="E19" s="12"/>
      <c r="F19" s="10"/>
      <c r="G19" s="10"/>
      <c r="H19" s="10"/>
      <c r="I19" s="10"/>
      <c r="J19" s="12"/>
      <c r="K19" s="10"/>
    </row>
    <row r="20" customFormat="false" ht="15" hidden="false" customHeight="false" outlineLevel="0" collapsed="false">
      <c r="A20" s="10"/>
      <c r="B20" s="10"/>
      <c r="C20" s="10"/>
      <c r="D20" s="10"/>
      <c r="E20" s="12"/>
      <c r="F20" s="10"/>
      <c r="G20" s="10"/>
      <c r="H20" s="10"/>
      <c r="I20" s="10"/>
      <c r="J20" s="12"/>
      <c r="K20" s="10"/>
    </row>
    <row r="21" customFormat="false" ht="15" hidden="false" customHeight="false" outlineLevel="0" collapsed="false">
      <c r="A21" s="10"/>
      <c r="B21" s="10"/>
      <c r="C21" s="10"/>
      <c r="D21" s="10"/>
      <c r="E21" s="12"/>
      <c r="F21" s="10"/>
      <c r="G21" s="10"/>
      <c r="H21" s="10"/>
      <c r="I21" s="10"/>
      <c r="J21" s="12"/>
      <c r="K21" s="10"/>
    </row>
    <row r="22" customFormat="false" ht="15" hidden="false" customHeight="false" outlineLevel="0" collapsed="false">
      <c r="A22" s="10"/>
      <c r="B22" s="10"/>
      <c r="C22" s="10"/>
      <c r="D22" s="10"/>
      <c r="E22" s="12"/>
      <c r="F22" s="10"/>
      <c r="G22" s="10"/>
      <c r="H22" s="10"/>
      <c r="I22" s="10"/>
      <c r="J22" s="12"/>
      <c r="K22" s="10"/>
    </row>
    <row r="23" customFormat="false" ht="15" hidden="false" customHeight="false" outlineLevel="0" collapsed="false">
      <c r="A23" s="10"/>
      <c r="B23" s="10"/>
      <c r="C23" s="10"/>
      <c r="D23" s="10"/>
      <c r="E23" s="12"/>
      <c r="F23" s="10"/>
      <c r="G23" s="10"/>
      <c r="H23" s="10"/>
      <c r="I23" s="10"/>
      <c r="J23" s="12"/>
      <c r="K23" s="10"/>
    </row>
    <row r="24" customFormat="false" ht="15" hidden="false" customHeight="false" outlineLevel="0" collapsed="false">
      <c r="A24" s="10"/>
      <c r="B24" s="10"/>
      <c r="C24" s="10"/>
      <c r="D24" s="10"/>
      <c r="E24" s="12"/>
      <c r="F24" s="10"/>
      <c r="G24" s="10"/>
      <c r="H24" s="10"/>
      <c r="I24" s="10"/>
      <c r="J24" s="12"/>
      <c r="K24" s="10"/>
    </row>
    <row r="25" customFormat="false" ht="15" hidden="false" customHeight="false" outlineLevel="0" collapsed="false">
      <c r="A25" s="10"/>
      <c r="B25" s="10"/>
      <c r="C25" s="10"/>
      <c r="D25" s="10"/>
      <c r="E25" s="12"/>
      <c r="F25" s="10"/>
      <c r="G25" s="10"/>
      <c r="H25" s="10"/>
      <c r="I25" s="10"/>
      <c r="J25" s="12"/>
      <c r="K25" s="10"/>
    </row>
    <row r="26" customFormat="false" ht="15" hidden="false" customHeight="false" outlineLevel="0" collapsed="false">
      <c r="A26" s="10"/>
      <c r="B26" s="10"/>
      <c r="C26" s="10"/>
      <c r="D26" s="10"/>
      <c r="E26" s="12"/>
      <c r="F26" s="10"/>
      <c r="G26" s="10"/>
      <c r="H26" s="10"/>
      <c r="I26" s="10"/>
      <c r="J26" s="12"/>
      <c r="K26" s="10"/>
    </row>
    <row r="27" customFormat="false" ht="15" hidden="false" customHeight="false" outlineLevel="0" collapsed="false">
      <c r="A27" s="10"/>
      <c r="B27" s="10"/>
      <c r="C27" s="10"/>
      <c r="D27" s="10"/>
      <c r="E27" s="12"/>
      <c r="F27" s="10"/>
      <c r="G27" s="10"/>
      <c r="H27" s="10"/>
      <c r="I27" s="10"/>
      <c r="J27" s="12"/>
      <c r="K27" s="10"/>
    </row>
    <row r="28" customFormat="false" ht="15" hidden="false" customHeight="false" outlineLevel="0" collapsed="false">
      <c r="A28" s="10"/>
      <c r="B28" s="10"/>
      <c r="C28" s="10"/>
      <c r="D28" s="10"/>
      <c r="E28" s="12"/>
      <c r="F28" s="10"/>
      <c r="G28" s="10"/>
      <c r="H28" s="10"/>
      <c r="I28" s="10"/>
      <c r="J28" s="12"/>
      <c r="K28" s="10"/>
    </row>
    <row r="29" customFormat="false" ht="15" hidden="false" customHeight="false" outlineLevel="0" collapsed="false">
      <c r="A29" s="10"/>
      <c r="B29" s="10"/>
      <c r="C29" s="10"/>
      <c r="D29" s="10"/>
      <c r="E29" s="12"/>
      <c r="F29" s="10"/>
      <c r="G29" s="10"/>
      <c r="H29" s="10"/>
      <c r="I29" s="10"/>
      <c r="J29" s="12"/>
      <c r="K29" s="10"/>
    </row>
    <row r="30" customFormat="false" ht="15" hidden="false" customHeight="false" outlineLevel="0" collapsed="false">
      <c r="A30" s="10"/>
      <c r="B30" s="10"/>
      <c r="C30" s="10"/>
      <c r="D30" s="10"/>
      <c r="E30" s="12"/>
      <c r="F30" s="10"/>
      <c r="G30" s="10"/>
      <c r="H30" s="10"/>
      <c r="I30" s="10"/>
      <c r="J30" s="12"/>
      <c r="K30" s="10"/>
    </row>
    <row r="31" customFormat="false" ht="15" hidden="false" customHeight="false" outlineLevel="0" collapsed="false">
      <c r="A31" s="10"/>
      <c r="B31" s="10"/>
      <c r="C31" s="10"/>
      <c r="D31" s="10"/>
      <c r="E31" s="12"/>
      <c r="F31" s="10"/>
      <c r="G31" s="10"/>
      <c r="H31" s="10"/>
      <c r="I31" s="10"/>
      <c r="J31" s="12"/>
      <c r="K31" s="10"/>
    </row>
    <row r="32" customFormat="false" ht="15" hidden="false" customHeight="false" outlineLevel="0" collapsed="false">
      <c r="A32" s="10"/>
      <c r="B32" s="10"/>
      <c r="C32" s="10"/>
      <c r="D32" s="10"/>
      <c r="E32" s="12"/>
      <c r="F32" s="10"/>
      <c r="G32" s="10"/>
      <c r="H32" s="10"/>
      <c r="I32" s="10"/>
      <c r="J32" s="12"/>
      <c r="K32" s="10"/>
    </row>
    <row r="33" customFormat="false" ht="15" hidden="false" customHeight="false" outlineLevel="0" collapsed="false">
      <c r="A33" s="10"/>
      <c r="B33" s="10"/>
      <c r="C33" s="10"/>
      <c r="D33" s="10"/>
      <c r="E33" s="12"/>
      <c r="F33" s="10"/>
      <c r="G33" s="10"/>
      <c r="H33" s="10"/>
      <c r="I33" s="10"/>
      <c r="J33" s="12"/>
      <c r="K33" s="10"/>
    </row>
    <row r="34" customFormat="false" ht="15" hidden="false" customHeight="false" outlineLevel="0" collapsed="false">
      <c r="A34" s="10"/>
      <c r="B34" s="10"/>
      <c r="C34" s="10"/>
      <c r="D34" s="10"/>
      <c r="E34" s="12"/>
      <c r="F34" s="10"/>
      <c r="G34" s="10"/>
      <c r="H34" s="10"/>
      <c r="I34" s="10"/>
      <c r="J34" s="12"/>
      <c r="K34" s="10"/>
    </row>
    <row r="35" customFormat="false" ht="15" hidden="false" customHeight="false" outlineLevel="0" collapsed="false">
      <c r="A35" s="10"/>
      <c r="B35" s="10"/>
      <c r="C35" s="10"/>
      <c r="D35" s="10"/>
      <c r="E35" s="12"/>
      <c r="F35" s="10"/>
      <c r="G35" s="10"/>
      <c r="H35" s="10"/>
      <c r="I35" s="10"/>
      <c r="J35" s="12"/>
      <c r="K35" s="10"/>
    </row>
    <row r="36" customFormat="false" ht="15" hidden="false" customHeight="false" outlineLevel="0" collapsed="false">
      <c r="A36" s="10"/>
      <c r="B36" s="10"/>
      <c r="C36" s="10"/>
      <c r="D36" s="10"/>
      <c r="E36" s="12"/>
      <c r="F36" s="10"/>
      <c r="G36" s="10"/>
      <c r="H36" s="10"/>
      <c r="I36" s="10"/>
      <c r="J36" s="12"/>
      <c r="K36" s="10"/>
    </row>
    <row r="37" customFormat="false" ht="15" hidden="false" customHeight="false" outlineLevel="0" collapsed="false">
      <c r="A37" s="10"/>
      <c r="B37" s="10"/>
      <c r="C37" s="10"/>
      <c r="D37" s="10"/>
      <c r="E37" s="12"/>
      <c r="F37" s="10"/>
      <c r="G37" s="10"/>
      <c r="H37" s="10"/>
      <c r="I37" s="10"/>
      <c r="J37" s="12"/>
      <c r="K37" s="10"/>
    </row>
    <row r="38" customFormat="false" ht="15" hidden="false" customHeight="false" outlineLevel="0" collapsed="false">
      <c r="A38" s="10"/>
      <c r="B38" s="10"/>
      <c r="C38" s="10"/>
      <c r="D38" s="10"/>
      <c r="E38" s="12"/>
      <c r="F38" s="10"/>
      <c r="G38" s="10"/>
      <c r="H38" s="10"/>
      <c r="I38" s="10"/>
      <c r="J38" s="12"/>
      <c r="K38" s="10"/>
    </row>
    <row r="39" customFormat="false" ht="15" hidden="false" customHeight="false" outlineLevel="0" collapsed="false">
      <c r="A39" s="10"/>
      <c r="B39" s="10"/>
      <c r="C39" s="10"/>
      <c r="D39" s="10"/>
      <c r="E39" s="12"/>
      <c r="F39" s="10"/>
      <c r="G39" s="10"/>
      <c r="H39" s="10"/>
      <c r="I39" s="10"/>
      <c r="J39" s="12"/>
      <c r="K39" s="10"/>
    </row>
    <row r="40" customFormat="false" ht="15" hidden="false" customHeight="false" outlineLevel="0" collapsed="false">
      <c r="A40" s="10"/>
      <c r="B40" s="10"/>
      <c r="C40" s="10"/>
      <c r="D40" s="10"/>
      <c r="E40" s="12"/>
      <c r="F40" s="10"/>
      <c r="G40" s="10"/>
      <c r="H40" s="10"/>
      <c r="I40" s="10"/>
      <c r="J40" s="12"/>
      <c r="K40" s="10"/>
    </row>
    <row r="41" customFormat="false" ht="15" hidden="false" customHeight="false" outlineLevel="0" collapsed="false">
      <c r="A41" s="10"/>
      <c r="B41" s="10"/>
      <c r="C41" s="10"/>
      <c r="D41" s="10"/>
      <c r="E41" s="12"/>
      <c r="F41" s="10"/>
      <c r="G41" s="10"/>
      <c r="H41" s="10"/>
      <c r="I41" s="10"/>
      <c r="J41" s="12"/>
      <c r="K41" s="10"/>
    </row>
    <row r="42" customFormat="false" ht="15" hidden="false" customHeight="false" outlineLevel="0" collapsed="false">
      <c r="A42" s="10"/>
      <c r="B42" s="10"/>
      <c r="C42" s="10"/>
      <c r="D42" s="10"/>
      <c r="E42" s="12"/>
      <c r="F42" s="10"/>
      <c r="G42" s="10"/>
      <c r="H42" s="10"/>
      <c r="I42" s="10"/>
      <c r="J42" s="12"/>
      <c r="K42" s="10"/>
    </row>
    <row r="43" customFormat="false" ht="15" hidden="false" customHeight="false" outlineLevel="0" collapsed="false">
      <c r="A43" s="10"/>
      <c r="B43" s="10"/>
      <c r="C43" s="10"/>
      <c r="D43" s="10"/>
      <c r="E43" s="12"/>
      <c r="F43" s="10"/>
      <c r="G43" s="10"/>
      <c r="H43" s="10"/>
      <c r="I43" s="10"/>
      <c r="J43" s="12"/>
      <c r="K43" s="10"/>
    </row>
    <row r="44" customFormat="false" ht="15" hidden="false" customHeight="false" outlineLevel="0" collapsed="false">
      <c r="A44" s="10"/>
      <c r="B44" s="10"/>
      <c r="C44" s="10"/>
      <c r="D44" s="10"/>
      <c r="E44" s="12"/>
      <c r="F44" s="10"/>
      <c r="G44" s="10"/>
      <c r="H44" s="10"/>
      <c r="I44" s="10"/>
      <c r="J44" s="12"/>
      <c r="K44" s="10"/>
    </row>
    <row r="45" customFormat="false" ht="15" hidden="false" customHeight="false" outlineLevel="0" collapsed="false">
      <c r="A45" s="10"/>
      <c r="B45" s="10"/>
      <c r="C45" s="10"/>
      <c r="D45" s="10"/>
      <c r="E45" s="12"/>
      <c r="F45" s="10"/>
      <c r="G45" s="10"/>
      <c r="H45" s="10"/>
      <c r="I45" s="10"/>
      <c r="J45" s="12"/>
      <c r="K45" s="10"/>
    </row>
    <row r="46" customFormat="false" ht="15" hidden="false" customHeight="false" outlineLevel="0" collapsed="false">
      <c r="A46" s="10"/>
      <c r="B46" s="10"/>
      <c r="C46" s="10"/>
      <c r="D46" s="10"/>
      <c r="E46" s="12"/>
      <c r="F46" s="10"/>
      <c r="G46" s="10"/>
      <c r="H46" s="10"/>
      <c r="I46" s="10"/>
      <c r="J46" s="12"/>
      <c r="K46" s="10"/>
    </row>
    <row r="47" customFormat="false" ht="15" hidden="false" customHeight="false" outlineLevel="0" collapsed="false">
      <c r="A47" s="10"/>
      <c r="B47" s="10"/>
      <c r="C47" s="10"/>
      <c r="D47" s="10"/>
      <c r="E47" s="12"/>
      <c r="F47" s="10"/>
      <c r="G47" s="10"/>
      <c r="H47" s="10"/>
      <c r="I47" s="10"/>
      <c r="J47" s="12"/>
      <c r="K47" s="10"/>
    </row>
    <row r="48" customFormat="false" ht="15" hidden="false" customHeight="false" outlineLevel="0" collapsed="false">
      <c r="A48" s="10"/>
      <c r="B48" s="10"/>
      <c r="C48" s="10"/>
      <c r="D48" s="10"/>
      <c r="E48" s="12"/>
      <c r="F48" s="10"/>
      <c r="G48" s="10"/>
      <c r="H48" s="10"/>
      <c r="I48" s="10"/>
      <c r="J48" s="12"/>
      <c r="K48" s="10"/>
    </row>
    <row r="49" customFormat="false" ht="15" hidden="false" customHeight="false" outlineLevel="0" collapsed="false">
      <c r="A49" s="10"/>
      <c r="B49" s="10"/>
      <c r="C49" s="10"/>
      <c r="D49" s="10"/>
      <c r="E49" s="12"/>
      <c r="F49" s="10"/>
      <c r="G49" s="10"/>
      <c r="H49" s="10"/>
      <c r="I49" s="10"/>
      <c r="J49" s="12"/>
      <c r="K49" s="10"/>
    </row>
    <row r="50" customFormat="false" ht="15" hidden="false" customHeight="false" outlineLevel="0" collapsed="false">
      <c r="A50" s="10"/>
      <c r="B50" s="10"/>
      <c r="C50" s="10"/>
      <c r="D50" s="10"/>
      <c r="E50" s="12"/>
      <c r="F50" s="10"/>
      <c r="G50" s="10"/>
      <c r="H50" s="10"/>
      <c r="I50" s="10"/>
      <c r="J50" s="12"/>
      <c r="K50" s="10"/>
    </row>
    <row r="51" customFormat="false" ht="15" hidden="false" customHeight="false" outlineLevel="0" collapsed="false">
      <c r="A51" s="10"/>
      <c r="B51" s="10"/>
      <c r="C51" s="10"/>
      <c r="D51" s="10"/>
      <c r="E51" s="12"/>
      <c r="F51" s="10"/>
      <c r="G51" s="10"/>
      <c r="H51" s="10"/>
      <c r="I51" s="10"/>
      <c r="J51" s="12"/>
      <c r="K51" s="10"/>
    </row>
    <row r="52" customFormat="false" ht="15" hidden="false" customHeight="false" outlineLevel="0" collapsed="false">
      <c r="A52" s="10"/>
      <c r="B52" s="10"/>
      <c r="C52" s="10"/>
      <c r="D52" s="10"/>
      <c r="E52" s="12"/>
      <c r="F52" s="10"/>
      <c r="G52" s="10"/>
      <c r="H52" s="10"/>
      <c r="I52" s="10"/>
      <c r="J52" s="12"/>
      <c r="K52" s="10"/>
    </row>
    <row r="53" customFormat="false" ht="15" hidden="false" customHeight="false" outlineLevel="0" collapsed="false">
      <c r="A53" s="10"/>
      <c r="B53" s="10"/>
      <c r="C53" s="10"/>
      <c r="D53" s="10"/>
      <c r="E53" s="12"/>
      <c r="F53" s="10"/>
      <c r="G53" s="10"/>
      <c r="H53" s="10"/>
      <c r="I53" s="10"/>
      <c r="J53" s="12"/>
      <c r="K53" s="10"/>
    </row>
    <row r="54" customFormat="false" ht="15" hidden="false" customHeight="false" outlineLevel="0" collapsed="false">
      <c r="A54" s="10"/>
      <c r="B54" s="10"/>
      <c r="C54" s="10"/>
      <c r="D54" s="10"/>
      <c r="E54" s="12"/>
      <c r="F54" s="10"/>
      <c r="G54" s="10"/>
      <c r="H54" s="10"/>
      <c r="I54" s="10"/>
      <c r="J54" s="12"/>
      <c r="K54" s="10"/>
    </row>
    <row r="55" customFormat="false" ht="15" hidden="false" customHeight="false" outlineLevel="0" collapsed="false">
      <c r="A55" s="10"/>
      <c r="B55" s="10"/>
      <c r="C55" s="10"/>
      <c r="D55" s="10"/>
      <c r="E55" s="12"/>
      <c r="F55" s="10"/>
      <c r="G55" s="10"/>
      <c r="H55" s="10"/>
      <c r="I55" s="10"/>
      <c r="J55" s="12"/>
      <c r="K55" s="10"/>
    </row>
    <row r="56" customFormat="false" ht="15" hidden="false" customHeight="false" outlineLevel="0" collapsed="false">
      <c r="A56" s="10"/>
      <c r="B56" s="10"/>
      <c r="C56" s="10"/>
      <c r="D56" s="10"/>
      <c r="E56" s="12"/>
      <c r="F56" s="10"/>
      <c r="G56" s="10"/>
      <c r="H56" s="10"/>
      <c r="I56" s="10"/>
      <c r="J56" s="12"/>
      <c r="K56" s="10"/>
    </row>
    <row r="57" customFormat="false" ht="15" hidden="false" customHeight="false" outlineLevel="0" collapsed="false">
      <c r="A57" s="10"/>
      <c r="B57" s="10"/>
      <c r="C57" s="10"/>
      <c r="D57" s="10"/>
      <c r="E57" s="12"/>
      <c r="F57" s="10"/>
      <c r="G57" s="10"/>
      <c r="H57" s="10"/>
      <c r="I57" s="10"/>
      <c r="J57" s="12"/>
      <c r="K57" s="10"/>
    </row>
    <row r="58" customFormat="false" ht="15" hidden="false" customHeight="false" outlineLevel="0" collapsed="false">
      <c r="A58" s="10"/>
      <c r="B58" s="10"/>
      <c r="C58" s="10"/>
      <c r="D58" s="10"/>
      <c r="E58" s="12"/>
      <c r="F58" s="10"/>
      <c r="G58" s="10"/>
      <c r="H58" s="10"/>
      <c r="I58" s="10"/>
      <c r="J58" s="12"/>
      <c r="K58" s="10"/>
    </row>
    <row r="59" customFormat="false" ht="15" hidden="false" customHeight="false" outlineLevel="0" collapsed="false">
      <c r="A59" s="10"/>
      <c r="B59" s="10"/>
      <c r="C59" s="10"/>
      <c r="D59" s="10"/>
      <c r="E59" s="12"/>
      <c r="F59" s="10"/>
      <c r="G59" s="10"/>
      <c r="H59" s="10"/>
      <c r="I59" s="10"/>
      <c r="J59" s="12"/>
      <c r="K59" s="10"/>
    </row>
    <row r="60" customFormat="false" ht="15" hidden="false" customHeight="false" outlineLevel="0" collapsed="false">
      <c r="A60" s="10"/>
      <c r="B60" s="10"/>
      <c r="C60" s="10"/>
      <c r="D60" s="10"/>
      <c r="E60" s="12"/>
      <c r="F60" s="10"/>
      <c r="G60" s="10"/>
      <c r="H60" s="10"/>
      <c r="I60" s="10"/>
      <c r="J60" s="12"/>
      <c r="K60" s="10"/>
    </row>
    <row r="61" customFormat="false" ht="15" hidden="false" customHeight="false" outlineLevel="0" collapsed="false">
      <c r="A61" s="10"/>
      <c r="B61" s="10"/>
      <c r="C61" s="10"/>
      <c r="D61" s="10"/>
      <c r="E61" s="12"/>
      <c r="F61" s="10"/>
      <c r="G61" s="10"/>
      <c r="H61" s="10"/>
      <c r="I61" s="10"/>
      <c r="J61" s="12"/>
      <c r="K61" s="10"/>
    </row>
    <row r="62" customFormat="false" ht="15" hidden="false" customHeight="false" outlineLevel="0" collapsed="false">
      <c r="A62" s="10"/>
      <c r="B62" s="10"/>
      <c r="C62" s="10"/>
      <c r="D62" s="10"/>
      <c r="E62" s="12"/>
      <c r="F62" s="10"/>
      <c r="G62" s="10"/>
      <c r="H62" s="10"/>
      <c r="I62" s="10"/>
      <c r="J62" s="12"/>
      <c r="K62" s="10"/>
    </row>
    <row r="63" customFormat="false" ht="15" hidden="false" customHeight="false" outlineLevel="0" collapsed="false">
      <c r="A63" s="10"/>
      <c r="B63" s="10"/>
      <c r="C63" s="10"/>
      <c r="D63" s="10"/>
      <c r="E63" s="12"/>
      <c r="F63" s="10"/>
      <c r="G63" s="10"/>
      <c r="H63" s="10"/>
      <c r="I63" s="10"/>
      <c r="J63" s="12"/>
      <c r="K63" s="10"/>
    </row>
    <row r="64" customFormat="false" ht="15" hidden="false" customHeight="false" outlineLevel="0" collapsed="false">
      <c r="A64" s="10"/>
      <c r="B64" s="10"/>
      <c r="C64" s="10"/>
      <c r="D64" s="10"/>
      <c r="E64" s="12"/>
      <c r="F64" s="10"/>
      <c r="G64" s="10"/>
      <c r="H64" s="10"/>
      <c r="I64" s="10"/>
      <c r="J64" s="12"/>
      <c r="K64" s="10"/>
    </row>
    <row r="65" customFormat="false" ht="15" hidden="false" customHeight="false" outlineLevel="0" collapsed="false">
      <c r="A65" s="10"/>
      <c r="B65" s="10"/>
      <c r="C65" s="10"/>
      <c r="D65" s="10"/>
      <c r="E65" s="12"/>
      <c r="F65" s="10"/>
      <c r="G65" s="10"/>
      <c r="H65" s="10"/>
      <c r="I65" s="10"/>
      <c r="J65" s="12"/>
      <c r="K65" s="10"/>
    </row>
    <row r="66" customFormat="false" ht="15" hidden="false" customHeight="false" outlineLevel="0" collapsed="false">
      <c r="A66" s="10"/>
      <c r="B66" s="10"/>
      <c r="C66" s="10"/>
      <c r="D66" s="10"/>
      <c r="E66" s="12"/>
      <c r="F66" s="10"/>
      <c r="G66" s="10"/>
      <c r="H66" s="10"/>
      <c r="I66" s="10"/>
      <c r="J66" s="12"/>
      <c r="K66" s="10"/>
    </row>
    <row r="67" customFormat="false" ht="15" hidden="false" customHeight="false" outlineLevel="0" collapsed="false">
      <c r="A67" s="10"/>
      <c r="B67" s="10"/>
      <c r="C67" s="10"/>
      <c r="D67" s="10"/>
      <c r="E67" s="12"/>
      <c r="F67" s="10"/>
      <c r="G67" s="10"/>
      <c r="H67" s="10"/>
      <c r="I67" s="10"/>
      <c r="J67" s="12"/>
      <c r="K67" s="10"/>
    </row>
    <row r="68" customFormat="false" ht="15" hidden="false" customHeight="false" outlineLevel="0" collapsed="false">
      <c r="A68" s="10"/>
      <c r="B68" s="10"/>
      <c r="C68" s="10"/>
      <c r="D68" s="10"/>
      <c r="E68" s="12"/>
      <c r="F68" s="10"/>
      <c r="G68" s="10"/>
      <c r="H68" s="10"/>
      <c r="I68" s="10"/>
      <c r="J68" s="12"/>
      <c r="K68" s="10"/>
    </row>
    <row r="69" customFormat="false" ht="15" hidden="false" customHeight="false" outlineLevel="0" collapsed="false">
      <c r="A69" s="10"/>
      <c r="B69" s="10"/>
      <c r="C69" s="10"/>
      <c r="D69" s="10"/>
      <c r="E69" s="12"/>
      <c r="F69" s="10"/>
      <c r="G69" s="10"/>
      <c r="H69" s="10"/>
      <c r="I69" s="10"/>
      <c r="J69" s="12"/>
      <c r="K69" s="10"/>
    </row>
    <row r="70" customFormat="false" ht="15" hidden="false" customHeight="false" outlineLevel="0" collapsed="false">
      <c r="A70" s="10"/>
      <c r="B70" s="10"/>
      <c r="C70" s="10"/>
      <c r="D70" s="10"/>
      <c r="E70" s="12"/>
      <c r="F70" s="10"/>
      <c r="G70" s="10"/>
      <c r="H70" s="10"/>
      <c r="I70" s="10"/>
      <c r="J70" s="12"/>
      <c r="K70" s="10"/>
    </row>
    <row r="71" customFormat="false" ht="15" hidden="false" customHeight="false" outlineLevel="0" collapsed="false">
      <c r="A71" s="10"/>
      <c r="B71" s="10"/>
      <c r="C71" s="10"/>
      <c r="D71" s="10"/>
      <c r="E71" s="12"/>
      <c r="F71" s="10"/>
      <c r="G71" s="10"/>
      <c r="H71" s="10"/>
      <c r="I71" s="10"/>
      <c r="J71" s="12"/>
      <c r="K71" s="10"/>
    </row>
    <row r="72" customFormat="false" ht="15" hidden="false" customHeight="false" outlineLevel="0" collapsed="false">
      <c r="A72" s="10"/>
      <c r="B72" s="10"/>
      <c r="C72" s="10"/>
      <c r="D72" s="10"/>
      <c r="E72" s="12"/>
      <c r="F72" s="10"/>
      <c r="G72" s="10"/>
      <c r="H72" s="10"/>
      <c r="I72" s="10"/>
      <c r="J72" s="12"/>
      <c r="K72" s="10"/>
    </row>
    <row r="73" customFormat="false" ht="15" hidden="false" customHeight="false" outlineLevel="0" collapsed="false">
      <c r="A73" s="10"/>
      <c r="B73" s="10"/>
      <c r="C73" s="10"/>
      <c r="D73" s="10"/>
      <c r="E73" s="12"/>
      <c r="F73" s="10"/>
      <c r="G73" s="10"/>
      <c r="H73" s="10"/>
      <c r="I73" s="10"/>
      <c r="J73" s="12"/>
      <c r="K73" s="10"/>
    </row>
    <row r="74" customFormat="false" ht="15" hidden="false" customHeight="false" outlineLevel="0" collapsed="false">
      <c r="A74" s="10"/>
      <c r="B74" s="10"/>
      <c r="C74" s="10"/>
      <c r="D74" s="10"/>
      <c r="E74" s="12"/>
      <c r="F74" s="10"/>
      <c r="G74" s="10"/>
      <c r="H74" s="10"/>
      <c r="I74" s="10"/>
      <c r="J74" s="12"/>
      <c r="K74" s="10"/>
    </row>
    <row r="75" customFormat="false" ht="15" hidden="false" customHeight="false" outlineLevel="0" collapsed="false">
      <c r="A75" s="10"/>
      <c r="B75" s="10"/>
      <c r="C75" s="10"/>
      <c r="D75" s="10"/>
      <c r="E75" s="12"/>
      <c r="F75" s="10"/>
      <c r="G75" s="10"/>
      <c r="H75" s="10"/>
      <c r="I75" s="10"/>
      <c r="J75" s="12"/>
      <c r="K75" s="10"/>
    </row>
    <row r="76" customFormat="false" ht="15" hidden="false" customHeight="false" outlineLevel="0" collapsed="false">
      <c r="A76" s="10"/>
      <c r="B76" s="10"/>
      <c r="C76" s="10"/>
      <c r="D76" s="10"/>
      <c r="E76" s="12"/>
      <c r="F76" s="10"/>
      <c r="G76" s="10"/>
      <c r="H76" s="10"/>
      <c r="I76" s="10"/>
      <c r="J76" s="12"/>
      <c r="K76" s="10"/>
    </row>
    <row r="77" customFormat="false" ht="15" hidden="false" customHeight="false" outlineLevel="0" collapsed="false">
      <c r="A77" s="10"/>
      <c r="B77" s="10"/>
      <c r="C77" s="10"/>
      <c r="D77" s="10"/>
      <c r="E77" s="12"/>
      <c r="F77" s="10"/>
      <c r="G77" s="10"/>
      <c r="H77" s="10"/>
      <c r="I77" s="10"/>
      <c r="J77" s="12"/>
      <c r="K77" s="10"/>
    </row>
    <row r="78" customFormat="false" ht="15" hidden="false" customHeight="false" outlineLevel="0" collapsed="false">
      <c r="A78" s="10"/>
      <c r="B78" s="10"/>
      <c r="C78" s="10"/>
      <c r="D78" s="10"/>
      <c r="E78" s="12"/>
      <c r="F78" s="10"/>
      <c r="G78" s="10"/>
      <c r="H78" s="10"/>
      <c r="I78" s="10"/>
      <c r="J78" s="12"/>
      <c r="K78" s="10"/>
    </row>
    <row r="79" customFormat="false" ht="15" hidden="false" customHeight="false" outlineLevel="0" collapsed="false">
      <c r="A79" s="10"/>
      <c r="B79" s="10"/>
      <c r="C79" s="10"/>
      <c r="D79" s="10"/>
      <c r="E79" s="12"/>
      <c r="F79" s="10"/>
      <c r="G79" s="10"/>
      <c r="H79" s="10"/>
      <c r="I79" s="10"/>
      <c r="J79" s="12"/>
      <c r="K79" s="10"/>
    </row>
    <row r="80" customFormat="false" ht="15" hidden="false" customHeight="false" outlineLevel="0" collapsed="false">
      <c r="A80" s="10"/>
      <c r="B80" s="10"/>
      <c r="C80" s="10"/>
      <c r="D80" s="10"/>
      <c r="E80" s="12"/>
      <c r="F80" s="10"/>
      <c r="G80" s="10"/>
      <c r="H80" s="10"/>
      <c r="I80" s="10"/>
      <c r="J80" s="12"/>
      <c r="K80" s="10"/>
    </row>
    <row r="81" customFormat="false" ht="15" hidden="false" customHeight="false" outlineLevel="0" collapsed="false">
      <c r="A81" s="10"/>
      <c r="B81" s="10"/>
      <c r="C81" s="10"/>
      <c r="D81" s="10"/>
      <c r="E81" s="12"/>
      <c r="F81" s="10"/>
      <c r="G81" s="10"/>
      <c r="H81" s="10"/>
      <c r="I81" s="10"/>
      <c r="J81" s="12"/>
      <c r="K81" s="10"/>
    </row>
    <row r="82" customFormat="false" ht="15" hidden="false" customHeight="false" outlineLevel="0" collapsed="false">
      <c r="A82" s="10"/>
      <c r="B82" s="10"/>
      <c r="C82" s="10"/>
      <c r="D82" s="10"/>
      <c r="E82" s="12"/>
      <c r="F82" s="10"/>
      <c r="G82" s="10"/>
      <c r="H82" s="10"/>
      <c r="I82" s="10"/>
      <c r="J82" s="12"/>
      <c r="K82" s="10"/>
    </row>
    <row r="83" customFormat="false" ht="15" hidden="false" customHeight="false" outlineLevel="0" collapsed="false">
      <c r="A83" s="10"/>
      <c r="B83" s="10"/>
      <c r="C83" s="10"/>
      <c r="D83" s="10"/>
      <c r="E83" s="12"/>
      <c r="F83" s="10"/>
      <c r="G83" s="10"/>
      <c r="H83" s="10"/>
      <c r="I83" s="10"/>
      <c r="J83" s="12"/>
      <c r="K83" s="10"/>
    </row>
    <row r="84" customFormat="false" ht="15" hidden="false" customHeight="false" outlineLevel="0" collapsed="false">
      <c r="A84" s="10"/>
      <c r="B84" s="10"/>
      <c r="C84" s="10"/>
      <c r="D84" s="10"/>
      <c r="E84" s="12"/>
      <c r="F84" s="10"/>
      <c r="G84" s="10"/>
      <c r="H84" s="10"/>
      <c r="I84" s="10"/>
      <c r="J84" s="12"/>
      <c r="K84" s="10"/>
    </row>
    <row r="85" customFormat="false" ht="15" hidden="false" customHeight="false" outlineLevel="0" collapsed="false">
      <c r="A85" s="10"/>
      <c r="B85" s="10"/>
      <c r="C85" s="10"/>
      <c r="D85" s="10"/>
      <c r="E85" s="12"/>
      <c r="F85" s="10"/>
      <c r="G85" s="10"/>
      <c r="H85" s="10"/>
      <c r="I85" s="10"/>
      <c r="J85" s="12"/>
      <c r="K85" s="10"/>
    </row>
    <row r="86" customFormat="false" ht="15" hidden="false" customHeight="false" outlineLevel="0" collapsed="false">
      <c r="A86" s="10"/>
      <c r="B86" s="10"/>
      <c r="C86" s="10"/>
      <c r="D86" s="10"/>
      <c r="E86" s="12"/>
      <c r="F86" s="10"/>
      <c r="G86" s="10"/>
      <c r="H86" s="10"/>
      <c r="I86" s="10"/>
      <c r="J86" s="12"/>
      <c r="K86" s="10"/>
    </row>
    <row r="87" customFormat="false" ht="15" hidden="false" customHeight="false" outlineLevel="0" collapsed="false">
      <c r="A87" s="10"/>
      <c r="B87" s="10"/>
      <c r="C87" s="10"/>
      <c r="D87" s="10"/>
      <c r="E87" s="12"/>
      <c r="F87" s="10"/>
      <c r="G87" s="10"/>
      <c r="H87" s="10"/>
      <c r="I87" s="10"/>
      <c r="J87" s="12"/>
      <c r="K87" s="10"/>
    </row>
    <row r="88" customFormat="false" ht="15" hidden="false" customHeight="false" outlineLevel="0" collapsed="false">
      <c r="A88" s="10"/>
      <c r="B88" s="10"/>
      <c r="C88" s="10"/>
      <c r="D88" s="10"/>
      <c r="E88" s="12"/>
      <c r="F88" s="10"/>
      <c r="G88" s="10"/>
      <c r="H88" s="10"/>
      <c r="I88" s="10"/>
      <c r="J88" s="12"/>
      <c r="K88" s="10"/>
    </row>
    <row r="89" customFormat="false" ht="15" hidden="false" customHeight="false" outlineLevel="0" collapsed="false">
      <c r="A89" s="10"/>
      <c r="B89" s="10"/>
      <c r="C89" s="10"/>
      <c r="D89" s="10"/>
      <c r="E89" s="12"/>
      <c r="F89" s="10"/>
      <c r="G89" s="10"/>
      <c r="H89" s="10"/>
      <c r="I89" s="10"/>
      <c r="J89" s="12"/>
      <c r="K89" s="10"/>
    </row>
    <row r="90" customFormat="false" ht="15" hidden="false" customHeight="false" outlineLevel="0" collapsed="false">
      <c r="A90" s="10"/>
      <c r="B90" s="10"/>
      <c r="C90" s="10"/>
      <c r="D90" s="10"/>
      <c r="E90" s="12"/>
      <c r="F90" s="10"/>
      <c r="G90" s="10"/>
      <c r="H90" s="10"/>
      <c r="I90" s="10"/>
      <c r="J90" s="12"/>
      <c r="K90" s="10"/>
    </row>
    <row r="91" customFormat="false" ht="15" hidden="false" customHeight="false" outlineLevel="0" collapsed="false">
      <c r="A91" s="10"/>
      <c r="B91" s="10"/>
      <c r="C91" s="10"/>
      <c r="D91" s="10"/>
      <c r="E91" s="12"/>
      <c r="F91" s="10"/>
      <c r="G91" s="10"/>
      <c r="H91" s="10"/>
      <c r="I91" s="10"/>
      <c r="J91" s="12"/>
      <c r="K91" s="10"/>
    </row>
    <row r="92" customFormat="false" ht="15" hidden="false" customHeight="false" outlineLevel="0" collapsed="false">
      <c r="A92" s="10"/>
      <c r="B92" s="10"/>
      <c r="C92" s="10"/>
      <c r="D92" s="10"/>
      <c r="E92" s="12"/>
      <c r="F92" s="10"/>
      <c r="G92" s="10"/>
      <c r="H92" s="10"/>
      <c r="I92" s="10"/>
      <c r="J92" s="12"/>
      <c r="K92" s="10"/>
    </row>
    <row r="93" customFormat="false" ht="15" hidden="false" customHeight="false" outlineLevel="0" collapsed="false">
      <c r="A93" s="10"/>
      <c r="B93" s="10"/>
      <c r="C93" s="10"/>
      <c r="D93" s="10"/>
      <c r="E93" s="12"/>
      <c r="F93" s="10"/>
      <c r="G93" s="10"/>
      <c r="H93" s="10"/>
      <c r="I93" s="10"/>
      <c r="J93" s="12"/>
      <c r="K93" s="10"/>
    </row>
    <row r="94" customFormat="false" ht="15" hidden="false" customHeight="false" outlineLevel="0" collapsed="false">
      <c r="A94" s="10"/>
      <c r="B94" s="10"/>
      <c r="C94" s="10"/>
      <c r="D94" s="10"/>
      <c r="E94" s="12"/>
      <c r="F94" s="10"/>
      <c r="G94" s="10"/>
      <c r="H94" s="10"/>
      <c r="I94" s="10"/>
      <c r="J94" s="12"/>
      <c r="K94" s="10"/>
    </row>
    <row r="95" customFormat="false" ht="15" hidden="false" customHeight="false" outlineLevel="0" collapsed="false">
      <c r="A95" s="10"/>
      <c r="B95" s="10"/>
      <c r="C95" s="10"/>
      <c r="D95" s="10"/>
      <c r="E95" s="12"/>
      <c r="F95" s="10"/>
      <c r="G95" s="10"/>
      <c r="H95" s="10"/>
      <c r="I95" s="10"/>
      <c r="J95" s="12"/>
      <c r="K95" s="10"/>
    </row>
    <row r="96" customFormat="false" ht="15" hidden="false" customHeight="false" outlineLevel="0" collapsed="false">
      <c r="A96" s="10"/>
      <c r="B96" s="10"/>
      <c r="C96" s="10"/>
      <c r="D96" s="10"/>
      <c r="E96" s="12"/>
      <c r="F96" s="10"/>
      <c r="G96" s="10"/>
      <c r="H96" s="10"/>
      <c r="I96" s="10"/>
      <c r="J96" s="12"/>
      <c r="K96" s="10"/>
    </row>
    <row r="97" customFormat="false" ht="15" hidden="false" customHeight="false" outlineLevel="0" collapsed="false">
      <c r="A97" s="10"/>
      <c r="B97" s="10"/>
      <c r="C97" s="10"/>
      <c r="D97" s="10"/>
      <c r="E97" s="12"/>
      <c r="F97" s="10"/>
      <c r="G97" s="10"/>
      <c r="H97" s="10"/>
      <c r="I97" s="10"/>
      <c r="J97" s="12"/>
      <c r="K97" s="10"/>
    </row>
    <row r="98" customFormat="false" ht="15" hidden="false" customHeight="false" outlineLevel="0" collapsed="false">
      <c r="A98" s="10"/>
      <c r="B98" s="10"/>
      <c r="C98" s="10"/>
      <c r="D98" s="10"/>
      <c r="E98" s="12"/>
      <c r="F98" s="10"/>
      <c r="G98" s="10"/>
      <c r="H98" s="10"/>
      <c r="I98" s="10"/>
      <c r="J98" s="12"/>
      <c r="K98" s="10"/>
    </row>
    <row r="99" customFormat="false" ht="15" hidden="false" customHeight="false" outlineLevel="0" collapsed="false">
      <c r="A99" s="10"/>
      <c r="B99" s="10"/>
      <c r="C99" s="10"/>
      <c r="D99" s="10"/>
      <c r="E99" s="12"/>
      <c r="F99" s="10"/>
      <c r="G99" s="10"/>
      <c r="H99" s="10"/>
      <c r="I99" s="10"/>
      <c r="J99" s="12"/>
      <c r="K99" s="10"/>
    </row>
    <row r="100" customFormat="false" ht="15" hidden="false" customHeight="false" outlineLevel="0" collapsed="false">
      <c r="A100" s="10"/>
      <c r="B100" s="10"/>
      <c r="C100" s="10"/>
      <c r="D100" s="10"/>
      <c r="E100" s="12"/>
      <c r="F100" s="10"/>
      <c r="G100" s="10"/>
      <c r="H100" s="10"/>
      <c r="I100" s="10"/>
      <c r="J100" s="12"/>
      <c r="K100" s="10"/>
    </row>
    <row r="101" customFormat="false" ht="15" hidden="false" customHeight="false" outlineLevel="0" collapsed="false">
      <c r="A101" s="10"/>
      <c r="B101" s="10"/>
      <c r="C101" s="10"/>
      <c r="D101" s="10"/>
      <c r="E101" s="12"/>
      <c r="F101" s="10"/>
      <c r="G101" s="10"/>
      <c r="H101" s="10"/>
      <c r="I101" s="10"/>
      <c r="J101" s="12"/>
      <c r="K101" s="10"/>
    </row>
    <row r="102" customFormat="false" ht="15" hidden="false" customHeight="false" outlineLevel="0" collapsed="false">
      <c r="A102" s="10"/>
      <c r="B102" s="10"/>
      <c r="C102" s="10"/>
      <c r="D102" s="10"/>
      <c r="E102" s="12"/>
      <c r="F102" s="10"/>
      <c r="G102" s="10"/>
      <c r="H102" s="10"/>
      <c r="I102" s="10"/>
      <c r="J102" s="12"/>
      <c r="K102" s="10"/>
    </row>
    <row r="103" customFormat="false" ht="15" hidden="false" customHeight="false" outlineLevel="0" collapsed="false">
      <c r="A103" s="10"/>
      <c r="B103" s="10"/>
      <c r="C103" s="10"/>
      <c r="D103" s="10"/>
      <c r="E103" s="12"/>
      <c r="F103" s="10"/>
      <c r="G103" s="10"/>
      <c r="H103" s="10"/>
      <c r="I103" s="10"/>
      <c r="J103" s="12"/>
      <c r="K103" s="10"/>
    </row>
    <row r="104" customFormat="false" ht="15" hidden="false" customHeight="false" outlineLevel="0" collapsed="false">
      <c r="A104" s="10"/>
      <c r="B104" s="10"/>
      <c r="C104" s="10"/>
      <c r="D104" s="10"/>
      <c r="E104" s="12"/>
      <c r="F104" s="10"/>
      <c r="G104" s="10"/>
      <c r="H104" s="10"/>
      <c r="I104" s="10"/>
      <c r="J104" s="12"/>
      <c r="K104" s="10"/>
    </row>
    <row r="105" customFormat="false" ht="15" hidden="false" customHeight="false" outlineLevel="0" collapsed="false">
      <c r="A105" s="10"/>
      <c r="B105" s="10"/>
      <c r="C105" s="10"/>
      <c r="D105" s="10"/>
      <c r="E105" s="12"/>
      <c r="F105" s="10"/>
      <c r="G105" s="10"/>
      <c r="H105" s="10"/>
      <c r="I105" s="10"/>
      <c r="J105" s="12"/>
      <c r="K105" s="10"/>
    </row>
    <row r="106" customFormat="false" ht="15" hidden="false" customHeight="false" outlineLevel="0" collapsed="false">
      <c r="A106" s="10"/>
      <c r="B106" s="10"/>
      <c r="C106" s="10"/>
      <c r="D106" s="10"/>
      <c r="E106" s="12"/>
      <c r="F106" s="10"/>
      <c r="G106" s="10"/>
      <c r="H106" s="10"/>
      <c r="I106" s="10"/>
      <c r="J106" s="12"/>
      <c r="K106" s="10"/>
    </row>
    <row r="107" customFormat="false" ht="15" hidden="false" customHeight="false" outlineLevel="0" collapsed="false">
      <c r="A107" s="10"/>
      <c r="B107" s="10"/>
      <c r="C107" s="10"/>
      <c r="D107" s="10"/>
      <c r="E107" s="12"/>
      <c r="F107" s="10"/>
      <c r="G107" s="10"/>
      <c r="H107" s="10"/>
      <c r="I107" s="10"/>
      <c r="J107" s="12"/>
      <c r="K107" s="10"/>
    </row>
    <row r="108" customFormat="false" ht="15" hidden="false" customHeight="false" outlineLevel="0" collapsed="false">
      <c r="A108" s="10"/>
      <c r="B108" s="10"/>
      <c r="C108" s="10"/>
      <c r="D108" s="10"/>
      <c r="E108" s="12"/>
      <c r="F108" s="10"/>
      <c r="G108" s="10"/>
      <c r="H108" s="10"/>
      <c r="I108" s="10"/>
      <c r="J108" s="12"/>
      <c r="K108" s="10"/>
    </row>
    <row r="109" customFormat="false" ht="15" hidden="false" customHeight="false" outlineLevel="0" collapsed="false">
      <c r="A109" s="10"/>
      <c r="B109" s="10"/>
      <c r="C109" s="10"/>
      <c r="D109" s="10"/>
      <c r="E109" s="12"/>
      <c r="F109" s="10"/>
      <c r="G109" s="10"/>
      <c r="H109" s="10"/>
      <c r="I109" s="10"/>
      <c r="J109" s="12"/>
      <c r="K109" s="10"/>
    </row>
    <row r="110" customFormat="false" ht="15" hidden="false" customHeight="false" outlineLevel="0" collapsed="false">
      <c r="A110" s="10"/>
      <c r="B110" s="10"/>
      <c r="C110" s="10"/>
      <c r="D110" s="10"/>
      <c r="E110" s="12"/>
      <c r="F110" s="10"/>
      <c r="G110" s="10"/>
      <c r="H110" s="10"/>
      <c r="I110" s="10"/>
      <c r="J110" s="12"/>
      <c r="K110" s="10"/>
    </row>
    <row r="111" customFormat="false" ht="15" hidden="false" customHeight="false" outlineLevel="0" collapsed="false">
      <c r="A111" s="10"/>
      <c r="B111" s="10"/>
      <c r="C111" s="10"/>
      <c r="D111" s="10"/>
      <c r="E111" s="12"/>
      <c r="F111" s="10"/>
      <c r="G111" s="10"/>
      <c r="H111" s="10"/>
      <c r="I111" s="10"/>
      <c r="J111" s="12"/>
      <c r="K111" s="10"/>
    </row>
    <row r="112" customFormat="false" ht="15" hidden="false" customHeight="false" outlineLevel="0" collapsed="false">
      <c r="A112" s="10"/>
      <c r="B112" s="10"/>
      <c r="C112" s="10"/>
      <c r="D112" s="10"/>
      <c r="E112" s="12"/>
      <c r="F112" s="10"/>
      <c r="G112" s="10"/>
      <c r="H112" s="10"/>
      <c r="I112" s="10"/>
      <c r="J112" s="12"/>
      <c r="K112" s="10"/>
    </row>
    <row r="113" customFormat="false" ht="15" hidden="false" customHeight="false" outlineLevel="0" collapsed="false">
      <c r="A113" s="10"/>
      <c r="B113" s="10"/>
      <c r="C113" s="10"/>
      <c r="D113" s="10"/>
      <c r="E113" s="12"/>
      <c r="F113" s="10"/>
      <c r="G113" s="10"/>
      <c r="H113" s="10"/>
      <c r="I113" s="10"/>
      <c r="J113" s="12"/>
      <c r="K113" s="10"/>
    </row>
    <row r="114" customFormat="false" ht="15" hidden="false" customHeight="false" outlineLevel="0" collapsed="false">
      <c r="A114" s="10"/>
      <c r="B114" s="10"/>
      <c r="C114" s="10"/>
      <c r="D114" s="10"/>
      <c r="E114" s="12"/>
      <c r="F114" s="10"/>
      <c r="G114" s="10"/>
      <c r="H114" s="10"/>
      <c r="I114" s="10"/>
      <c r="J114" s="12"/>
      <c r="K114" s="10"/>
    </row>
    <row r="115" customFormat="false" ht="15" hidden="false" customHeight="false" outlineLevel="0" collapsed="false">
      <c r="A115" s="10"/>
      <c r="B115" s="10"/>
      <c r="C115" s="10"/>
      <c r="D115" s="10"/>
      <c r="E115" s="12"/>
      <c r="F115" s="10"/>
      <c r="G115" s="10"/>
      <c r="H115" s="10"/>
      <c r="I115" s="10"/>
      <c r="J115" s="12"/>
      <c r="K115" s="10"/>
    </row>
    <row r="116" customFormat="false" ht="15" hidden="false" customHeight="false" outlineLevel="0" collapsed="false">
      <c r="A116" s="10"/>
      <c r="B116" s="10"/>
      <c r="C116" s="10"/>
      <c r="D116" s="10"/>
      <c r="E116" s="12"/>
      <c r="F116" s="10"/>
      <c r="G116" s="10"/>
      <c r="H116" s="10"/>
      <c r="I116" s="10"/>
      <c r="J116" s="12"/>
      <c r="K116" s="10"/>
    </row>
    <row r="117" customFormat="false" ht="15" hidden="false" customHeight="false" outlineLevel="0" collapsed="false">
      <c r="A117" s="10"/>
      <c r="B117" s="10"/>
      <c r="C117" s="10"/>
      <c r="D117" s="10"/>
      <c r="E117" s="12"/>
      <c r="F117" s="10"/>
      <c r="G117" s="10"/>
      <c r="H117" s="10"/>
      <c r="I117" s="10"/>
      <c r="J117" s="12"/>
      <c r="K117" s="10"/>
    </row>
    <row r="118" customFormat="false" ht="15" hidden="false" customHeight="false" outlineLevel="0" collapsed="false">
      <c r="A118" s="10"/>
      <c r="B118" s="10"/>
      <c r="C118" s="10"/>
      <c r="D118" s="10"/>
      <c r="E118" s="12"/>
      <c r="F118" s="10"/>
      <c r="G118" s="10"/>
      <c r="H118" s="10"/>
      <c r="I118" s="10"/>
      <c r="J118" s="12"/>
      <c r="K118" s="10"/>
    </row>
    <row r="119" customFormat="false" ht="15" hidden="false" customHeight="false" outlineLevel="0" collapsed="false">
      <c r="A119" s="10"/>
      <c r="B119" s="10"/>
      <c r="C119" s="10"/>
      <c r="D119" s="10"/>
      <c r="E119" s="12"/>
      <c r="F119" s="10"/>
      <c r="G119" s="10"/>
      <c r="H119" s="10"/>
      <c r="I119" s="10"/>
      <c r="J119" s="12"/>
      <c r="K119" s="10"/>
    </row>
    <row r="120" customFormat="false" ht="15" hidden="false" customHeight="false" outlineLevel="0" collapsed="false">
      <c r="A120" s="10"/>
      <c r="B120" s="10"/>
      <c r="C120" s="10"/>
      <c r="D120" s="10"/>
      <c r="E120" s="12"/>
      <c r="F120" s="10"/>
      <c r="G120" s="10"/>
      <c r="H120" s="10"/>
      <c r="I120" s="10"/>
      <c r="J120" s="12"/>
      <c r="K120" s="10"/>
    </row>
    <row r="121" customFormat="false" ht="15" hidden="false" customHeight="false" outlineLevel="0" collapsed="false">
      <c r="A121" s="10"/>
      <c r="B121" s="10"/>
      <c r="C121" s="10"/>
      <c r="D121" s="10"/>
      <c r="E121" s="12"/>
      <c r="F121" s="10"/>
      <c r="G121" s="10"/>
      <c r="H121" s="10"/>
      <c r="I121" s="10"/>
      <c r="J121" s="12"/>
      <c r="K121" s="10"/>
    </row>
    <row r="122" customFormat="false" ht="15" hidden="false" customHeight="false" outlineLevel="0" collapsed="false">
      <c r="A122" s="10"/>
      <c r="B122" s="10"/>
      <c r="C122" s="10"/>
      <c r="D122" s="10"/>
      <c r="E122" s="12"/>
      <c r="F122" s="10"/>
      <c r="G122" s="10"/>
      <c r="H122" s="10"/>
      <c r="I122" s="10"/>
      <c r="J122" s="12"/>
      <c r="K122" s="10"/>
    </row>
    <row r="123" customFormat="false" ht="15" hidden="false" customHeight="false" outlineLevel="0" collapsed="false">
      <c r="A123" s="10"/>
      <c r="B123" s="10"/>
      <c r="C123" s="10"/>
      <c r="D123" s="10"/>
      <c r="E123" s="12"/>
      <c r="F123" s="10"/>
      <c r="G123" s="10"/>
      <c r="H123" s="10"/>
      <c r="I123" s="10"/>
      <c r="J123" s="12"/>
      <c r="K123" s="10"/>
    </row>
    <row r="124" customFormat="false" ht="15" hidden="false" customHeight="false" outlineLevel="0" collapsed="false">
      <c r="A124" s="10"/>
      <c r="B124" s="10"/>
      <c r="C124" s="10"/>
      <c r="D124" s="10"/>
      <c r="E124" s="12"/>
      <c r="F124" s="10"/>
      <c r="G124" s="10"/>
      <c r="H124" s="10"/>
      <c r="I124" s="10"/>
      <c r="J124" s="12"/>
      <c r="K124" s="10"/>
    </row>
    <row r="125" customFormat="false" ht="15" hidden="false" customHeight="false" outlineLevel="0" collapsed="false">
      <c r="A125" s="10"/>
      <c r="B125" s="10"/>
      <c r="C125" s="10"/>
      <c r="D125" s="10"/>
      <c r="E125" s="12"/>
      <c r="F125" s="10"/>
      <c r="G125" s="10"/>
      <c r="H125" s="10"/>
      <c r="I125" s="10"/>
      <c r="J125" s="12"/>
      <c r="K125" s="10"/>
    </row>
    <row r="126" customFormat="false" ht="15" hidden="false" customHeight="false" outlineLevel="0" collapsed="false">
      <c r="A126" s="10"/>
      <c r="B126" s="10"/>
      <c r="C126" s="10"/>
      <c r="D126" s="10"/>
      <c r="E126" s="12"/>
      <c r="F126" s="10"/>
      <c r="G126" s="10"/>
      <c r="H126" s="10"/>
      <c r="I126" s="10"/>
      <c r="J126" s="12"/>
      <c r="K126" s="10"/>
    </row>
    <row r="127" customFormat="false" ht="15" hidden="false" customHeight="false" outlineLevel="0" collapsed="false">
      <c r="A127" s="10"/>
      <c r="B127" s="10"/>
      <c r="C127" s="10"/>
      <c r="D127" s="10"/>
      <c r="E127" s="12"/>
      <c r="F127" s="10"/>
      <c r="G127" s="10"/>
      <c r="H127" s="10"/>
      <c r="I127" s="10"/>
      <c r="J127" s="12"/>
      <c r="K127" s="10"/>
    </row>
    <row r="128" customFormat="false" ht="15" hidden="false" customHeight="false" outlineLevel="0" collapsed="false">
      <c r="A128" s="10"/>
      <c r="B128" s="10"/>
      <c r="C128" s="10"/>
      <c r="D128" s="10"/>
      <c r="E128" s="12"/>
      <c r="F128" s="10"/>
      <c r="G128" s="10"/>
      <c r="H128" s="10"/>
      <c r="I128" s="10"/>
      <c r="J128" s="12"/>
      <c r="K128" s="10"/>
    </row>
    <row r="129" customFormat="false" ht="15" hidden="false" customHeight="false" outlineLevel="0" collapsed="false">
      <c r="A129" s="10"/>
      <c r="B129" s="10"/>
      <c r="C129" s="10"/>
      <c r="D129" s="10"/>
      <c r="E129" s="12"/>
      <c r="F129" s="10"/>
      <c r="G129" s="10"/>
      <c r="H129" s="10"/>
      <c r="I129" s="10"/>
      <c r="J129" s="12"/>
      <c r="K129" s="10"/>
    </row>
    <row r="130" customFormat="false" ht="15" hidden="false" customHeight="false" outlineLevel="0" collapsed="false">
      <c r="A130" s="10"/>
      <c r="B130" s="10"/>
      <c r="C130" s="10"/>
      <c r="D130" s="10"/>
      <c r="E130" s="12"/>
      <c r="F130" s="10"/>
      <c r="G130" s="10"/>
      <c r="H130" s="10"/>
      <c r="I130" s="10"/>
      <c r="J130" s="12"/>
      <c r="K130" s="10"/>
    </row>
    <row r="131" customFormat="false" ht="15" hidden="false" customHeight="false" outlineLevel="0" collapsed="false">
      <c r="A131" s="10"/>
      <c r="B131" s="10"/>
      <c r="C131" s="10"/>
      <c r="D131" s="10"/>
      <c r="E131" s="12"/>
      <c r="F131" s="10"/>
      <c r="G131" s="10"/>
      <c r="H131" s="10"/>
      <c r="I131" s="10"/>
      <c r="J131" s="12"/>
      <c r="K131" s="10"/>
    </row>
    <row r="132" customFormat="false" ht="15" hidden="false" customHeight="false" outlineLevel="0" collapsed="false">
      <c r="A132" s="10"/>
      <c r="B132" s="10"/>
      <c r="C132" s="10"/>
      <c r="D132" s="10"/>
      <c r="E132" s="12"/>
      <c r="F132" s="10"/>
      <c r="G132" s="10"/>
      <c r="H132" s="10"/>
      <c r="I132" s="10"/>
      <c r="J132" s="12"/>
      <c r="K132" s="10"/>
    </row>
    <row r="133" customFormat="false" ht="15" hidden="false" customHeight="false" outlineLevel="0" collapsed="false">
      <c r="A133" s="10"/>
      <c r="B133" s="10"/>
      <c r="C133" s="10"/>
      <c r="D133" s="10"/>
      <c r="E133" s="12"/>
      <c r="F133" s="10"/>
      <c r="G133" s="10"/>
      <c r="H133" s="10"/>
      <c r="I133" s="10"/>
      <c r="J133" s="12"/>
      <c r="K133" s="10"/>
    </row>
    <row r="134" customFormat="false" ht="15" hidden="false" customHeight="false" outlineLevel="0" collapsed="false">
      <c r="A134" s="10"/>
      <c r="B134" s="10"/>
      <c r="C134" s="10"/>
      <c r="D134" s="10"/>
      <c r="E134" s="12"/>
      <c r="F134" s="10"/>
      <c r="G134" s="10"/>
      <c r="H134" s="10"/>
      <c r="I134" s="10"/>
      <c r="J134" s="12"/>
      <c r="K134" s="10"/>
    </row>
    <row r="135" customFormat="false" ht="15" hidden="false" customHeight="false" outlineLevel="0" collapsed="false">
      <c r="A135" s="10"/>
      <c r="B135" s="10"/>
      <c r="C135" s="10"/>
      <c r="D135" s="10"/>
      <c r="E135" s="12"/>
      <c r="F135" s="10"/>
      <c r="G135" s="10"/>
      <c r="H135" s="10"/>
      <c r="I135" s="10"/>
      <c r="J135" s="12"/>
      <c r="K135" s="10"/>
    </row>
    <row r="136" customFormat="false" ht="15" hidden="false" customHeight="false" outlineLevel="0" collapsed="false">
      <c r="A136" s="10"/>
      <c r="B136" s="10"/>
      <c r="C136" s="10"/>
      <c r="D136" s="10"/>
      <c r="E136" s="12"/>
      <c r="F136" s="10"/>
      <c r="G136" s="10"/>
      <c r="H136" s="10"/>
      <c r="I136" s="10"/>
      <c r="J136" s="12"/>
      <c r="K136" s="10"/>
    </row>
    <row r="137" customFormat="false" ht="15" hidden="false" customHeight="false" outlineLevel="0" collapsed="false">
      <c r="A137" s="10"/>
      <c r="B137" s="10"/>
      <c r="C137" s="10"/>
      <c r="D137" s="10"/>
      <c r="E137" s="12"/>
      <c r="F137" s="10"/>
      <c r="G137" s="10"/>
      <c r="H137" s="10"/>
      <c r="I137" s="10"/>
      <c r="J137" s="12"/>
      <c r="K137" s="10"/>
    </row>
    <row r="138" customFormat="false" ht="15" hidden="false" customHeight="false" outlineLevel="0" collapsed="false">
      <c r="A138" s="10"/>
      <c r="B138" s="10"/>
      <c r="C138" s="10"/>
      <c r="D138" s="10"/>
      <c r="E138" s="12"/>
      <c r="F138" s="10"/>
      <c r="G138" s="10"/>
      <c r="H138" s="10"/>
      <c r="I138" s="10"/>
      <c r="J138" s="12"/>
      <c r="K138" s="10"/>
    </row>
    <row r="139" customFormat="false" ht="15" hidden="false" customHeight="false" outlineLevel="0" collapsed="false">
      <c r="A139" s="10"/>
      <c r="B139" s="10"/>
      <c r="C139" s="10"/>
      <c r="D139" s="10"/>
      <c r="E139" s="12"/>
      <c r="F139" s="10"/>
      <c r="G139" s="10"/>
      <c r="H139" s="10"/>
      <c r="I139" s="10"/>
      <c r="J139" s="12"/>
      <c r="K139" s="10"/>
    </row>
    <row r="140" customFormat="false" ht="15" hidden="false" customHeight="false" outlineLevel="0" collapsed="false">
      <c r="A140" s="10"/>
      <c r="B140" s="10"/>
      <c r="C140" s="10"/>
      <c r="D140" s="10"/>
      <c r="E140" s="12"/>
      <c r="F140" s="10"/>
      <c r="G140" s="10"/>
      <c r="H140" s="10"/>
      <c r="I140" s="10"/>
      <c r="J140" s="12"/>
      <c r="K140" s="10"/>
    </row>
    <row r="141" customFormat="false" ht="15" hidden="false" customHeight="false" outlineLevel="0" collapsed="false">
      <c r="A141" s="10"/>
      <c r="B141" s="10"/>
      <c r="C141" s="10"/>
      <c r="D141" s="10"/>
      <c r="E141" s="12"/>
      <c r="F141" s="10"/>
      <c r="G141" s="10"/>
      <c r="H141" s="10"/>
      <c r="I141" s="10"/>
      <c r="J141" s="12"/>
      <c r="K141" s="10"/>
    </row>
    <row r="142" customFormat="false" ht="15" hidden="false" customHeight="false" outlineLevel="0" collapsed="false">
      <c r="A142" s="10"/>
      <c r="B142" s="10"/>
      <c r="C142" s="10"/>
      <c r="D142" s="10"/>
      <c r="E142" s="12"/>
      <c r="F142" s="10"/>
      <c r="G142" s="10"/>
      <c r="H142" s="10"/>
      <c r="I142" s="10"/>
      <c r="J142" s="12"/>
      <c r="K142" s="10"/>
    </row>
    <row r="143" customFormat="false" ht="15" hidden="false" customHeight="false" outlineLevel="0" collapsed="false">
      <c r="A143" s="10"/>
      <c r="B143" s="10"/>
      <c r="C143" s="10"/>
      <c r="D143" s="10"/>
      <c r="E143" s="12"/>
      <c r="F143" s="10"/>
      <c r="G143" s="10"/>
      <c r="H143" s="10"/>
      <c r="I143" s="10"/>
      <c r="J143" s="12"/>
      <c r="K143" s="10"/>
    </row>
    <row r="144" customFormat="false" ht="15" hidden="false" customHeight="false" outlineLevel="0" collapsed="false">
      <c r="A144" s="10"/>
      <c r="B144" s="10"/>
      <c r="C144" s="10"/>
      <c r="D144" s="10"/>
      <c r="E144" s="12"/>
      <c r="F144" s="10"/>
      <c r="G144" s="10"/>
      <c r="H144" s="10"/>
      <c r="I144" s="10"/>
      <c r="J144" s="12"/>
      <c r="K144" s="10"/>
    </row>
    <row r="145" customFormat="false" ht="15" hidden="false" customHeight="false" outlineLevel="0" collapsed="false">
      <c r="A145" s="10"/>
      <c r="B145" s="10"/>
      <c r="C145" s="10"/>
      <c r="D145" s="10"/>
      <c r="E145" s="12"/>
      <c r="F145" s="10"/>
      <c r="G145" s="10"/>
      <c r="H145" s="10"/>
      <c r="I145" s="10"/>
      <c r="J145" s="12"/>
      <c r="K145" s="10"/>
    </row>
    <row r="146" customFormat="false" ht="15" hidden="false" customHeight="false" outlineLevel="0" collapsed="false">
      <c r="A146" s="10"/>
      <c r="B146" s="10"/>
      <c r="C146" s="10"/>
      <c r="D146" s="10"/>
      <c r="E146" s="12"/>
      <c r="F146" s="10"/>
      <c r="G146" s="10"/>
      <c r="H146" s="10"/>
      <c r="I146" s="10"/>
      <c r="J146" s="12"/>
      <c r="K146" s="10"/>
    </row>
    <row r="147" customFormat="false" ht="15" hidden="false" customHeight="false" outlineLevel="0" collapsed="false">
      <c r="A147" s="10"/>
      <c r="B147" s="10"/>
      <c r="C147" s="10"/>
      <c r="D147" s="10"/>
      <c r="E147" s="12"/>
      <c r="F147" s="10"/>
      <c r="G147" s="10"/>
      <c r="H147" s="10"/>
      <c r="I147" s="10"/>
      <c r="J147" s="12"/>
      <c r="K147" s="10"/>
    </row>
    <row r="148" customFormat="false" ht="15" hidden="false" customHeight="false" outlineLevel="0" collapsed="false">
      <c r="A148" s="10"/>
      <c r="B148" s="10"/>
      <c r="C148" s="10"/>
      <c r="D148" s="10"/>
      <c r="E148" s="12"/>
      <c r="F148" s="10"/>
      <c r="G148" s="10"/>
      <c r="H148" s="10"/>
      <c r="I148" s="10"/>
      <c r="J148" s="12"/>
      <c r="K148" s="10"/>
    </row>
    <row r="149" customFormat="false" ht="15" hidden="false" customHeight="false" outlineLevel="0" collapsed="false">
      <c r="A149" s="10"/>
      <c r="B149" s="10"/>
      <c r="C149" s="10"/>
      <c r="D149" s="10"/>
      <c r="E149" s="12"/>
      <c r="F149" s="10"/>
      <c r="G149" s="10"/>
      <c r="H149" s="10"/>
      <c r="I149" s="10"/>
      <c r="J149" s="12"/>
      <c r="K149" s="10"/>
    </row>
    <row r="150" customFormat="false" ht="15" hidden="false" customHeight="false" outlineLevel="0" collapsed="false">
      <c r="A150" s="10"/>
      <c r="B150" s="10"/>
      <c r="C150" s="10"/>
      <c r="D150" s="10"/>
      <c r="E150" s="12"/>
      <c r="F150" s="10"/>
      <c r="G150" s="10"/>
      <c r="H150" s="10"/>
      <c r="I150" s="10"/>
      <c r="J150" s="12"/>
      <c r="K150" s="10"/>
    </row>
    <row r="151" customFormat="false" ht="15" hidden="false" customHeight="false" outlineLevel="0" collapsed="false">
      <c r="A151" s="10"/>
      <c r="B151" s="10"/>
      <c r="C151" s="10"/>
      <c r="D151" s="10"/>
      <c r="E151" s="12"/>
      <c r="F151" s="10"/>
      <c r="G151" s="10"/>
      <c r="H151" s="10"/>
      <c r="I151" s="10"/>
      <c r="J151" s="12"/>
      <c r="K151" s="10"/>
    </row>
    <row r="152" customFormat="false" ht="15" hidden="false" customHeight="false" outlineLevel="0" collapsed="false">
      <c r="A152" s="10"/>
      <c r="B152" s="10"/>
      <c r="C152" s="10"/>
      <c r="D152" s="10"/>
      <c r="E152" s="12"/>
      <c r="F152" s="10"/>
      <c r="G152" s="10"/>
      <c r="H152" s="10"/>
      <c r="I152" s="10"/>
      <c r="J152" s="12"/>
      <c r="K152" s="10"/>
    </row>
    <row r="153" customFormat="false" ht="15" hidden="false" customHeight="false" outlineLevel="0" collapsed="false">
      <c r="A153" s="10"/>
      <c r="B153" s="10"/>
      <c r="C153" s="10"/>
      <c r="D153" s="10"/>
      <c r="E153" s="12"/>
      <c r="F153" s="10"/>
      <c r="G153" s="10"/>
      <c r="H153" s="10"/>
      <c r="I153" s="10"/>
      <c r="J153" s="12"/>
      <c r="K153" s="10"/>
    </row>
    <row r="154" customFormat="false" ht="15" hidden="false" customHeight="false" outlineLevel="0" collapsed="false">
      <c r="A154" s="10"/>
      <c r="B154" s="10"/>
      <c r="C154" s="10"/>
      <c r="D154" s="10"/>
      <c r="E154" s="12"/>
      <c r="F154" s="10"/>
      <c r="G154" s="10"/>
      <c r="H154" s="10"/>
      <c r="I154" s="10"/>
      <c r="J154" s="12"/>
      <c r="K154" s="10"/>
    </row>
    <row r="155" customFormat="false" ht="15" hidden="false" customHeight="false" outlineLevel="0" collapsed="false">
      <c r="A155" s="10"/>
      <c r="B155" s="10"/>
      <c r="C155" s="10"/>
      <c r="D155" s="10"/>
      <c r="E155" s="12"/>
      <c r="F155" s="10"/>
      <c r="G155" s="10"/>
      <c r="H155" s="10"/>
      <c r="I155" s="10"/>
      <c r="J155" s="12"/>
      <c r="K155" s="10"/>
    </row>
    <row r="156" customFormat="false" ht="15" hidden="false" customHeight="false" outlineLevel="0" collapsed="false">
      <c r="A156" s="10"/>
      <c r="B156" s="10"/>
      <c r="C156" s="10"/>
      <c r="D156" s="10"/>
      <c r="E156" s="12"/>
      <c r="F156" s="10"/>
      <c r="G156" s="10"/>
      <c r="H156" s="10"/>
      <c r="I156" s="10"/>
      <c r="J156" s="12"/>
      <c r="K156" s="10"/>
    </row>
    <row r="157" customFormat="false" ht="15" hidden="false" customHeight="false" outlineLevel="0" collapsed="false">
      <c r="A157" s="10"/>
      <c r="B157" s="10"/>
      <c r="C157" s="10"/>
      <c r="D157" s="10"/>
      <c r="E157" s="12"/>
      <c r="F157" s="10"/>
      <c r="G157" s="10"/>
      <c r="H157" s="10"/>
      <c r="I157" s="10"/>
      <c r="J157" s="12"/>
      <c r="K157" s="10"/>
    </row>
    <row r="158" customFormat="false" ht="15" hidden="false" customHeight="false" outlineLevel="0" collapsed="false">
      <c r="A158" s="10"/>
      <c r="B158" s="10"/>
      <c r="C158" s="10"/>
      <c r="D158" s="10"/>
      <c r="E158" s="12"/>
      <c r="F158" s="10"/>
      <c r="G158" s="10"/>
      <c r="H158" s="10"/>
      <c r="I158" s="10"/>
      <c r="J158" s="12"/>
      <c r="K158" s="10"/>
    </row>
    <row r="159" customFormat="false" ht="15" hidden="false" customHeight="false" outlineLevel="0" collapsed="false">
      <c r="A159" s="10"/>
      <c r="B159" s="10"/>
      <c r="C159" s="10"/>
      <c r="D159" s="10"/>
      <c r="E159" s="12"/>
      <c r="F159" s="10"/>
      <c r="G159" s="10"/>
      <c r="H159" s="10"/>
      <c r="I159" s="10"/>
      <c r="J159" s="12"/>
      <c r="K159" s="10"/>
    </row>
    <row r="160" customFormat="false" ht="15" hidden="false" customHeight="false" outlineLevel="0" collapsed="false">
      <c r="A160" s="10"/>
      <c r="B160" s="10"/>
      <c r="C160" s="10"/>
      <c r="D160" s="10"/>
      <c r="E160" s="12"/>
      <c r="F160" s="10"/>
      <c r="G160" s="10"/>
      <c r="H160" s="10"/>
      <c r="I160" s="10"/>
      <c r="J160" s="12"/>
      <c r="K160" s="10"/>
    </row>
    <row r="161" customFormat="false" ht="15" hidden="false" customHeight="false" outlineLevel="0" collapsed="false">
      <c r="A161" s="10"/>
      <c r="B161" s="10"/>
      <c r="C161" s="10"/>
      <c r="D161" s="10"/>
      <c r="E161" s="12"/>
      <c r="F161" s="10"/>
      <c r="G161" s="10"/>
      <c r="H161" s="10"/>
      <c r="I161" s="10"/>
      <c r="J161" s="12"/>
      <c r="K161" s="10"/>
    </row>
    <row r="162" customFormat="false" ht="15" hidden="false" customHeight="false" outlineLevel="0" collapsed="false">
      <c r="A162" s="10"/>
      <c r="B162" s="10"/>
      <c r="C162" s="10"/>
      <c r="D162" s="10"/>
      <c r="E162" s="12"/>
      <c r="F162" s="10"/>
      <c r="G162" s="10"/>
      <c r="H162" s="10"/>
      <c r="I162" s="10"/>
      <c r="J162" s="12"/>
      <c r="K162" s="10"/>
    </row>
    <row r="163" customFormat="false" ht="15" hidden="false" customHeight="false" outlineLevel="0" collapsed="false">
      <c r="A163" s="10"/>
      <c r="B163" s="10"/>
      <c r="C163" s="10"/>
      <c r="D163" s="10"/>
      <c r="E163" s="12"/>
      <c r="F163" s="10"/>
      <c r="G163" s="10"/>
      <c r="H163" s="10"/>
      <c r="I163" s="10"/>
      <c r="J163" s="12"/>
      <c r="K163" s="10"/>
    </row>
    <row r="164" customFormat="false" ht="15" hidden="false" customHeight="false" outlineLevel="0" collapsed="false">
      <c r="A164" s="10"/>
      <c r="B164" s="10"/>
      <c r="C164" s="10"/>
      <c r="D164" s="10"/>
      <c r="E164" s="12"/>
      <c r="F164" s="10"/>
      <c r="G164" s="10"/>
      <c r="H164" s="10"/>
      <c r="I164" s="10"/>
      <c r="J164" s="12"/>
      <c r="K164" s="10"/>
    </row>
    <row r="165" customFormat="false" ht="15" hidden="false" customHeight="false" outlineLevel="0" collapsed="false">
      <c r="A165" s="10"/>
      <c r="B165" s="10"/>
      <c r="C165" s="10"/>
      <c r="D165" s="10"/>
      <c r="E165" s="12"/>
      <c r="F165" s="10"/>
      <c r="G165" s="10"/>
      <c r="H165" s="10"/>
      <c r="I165" s="10"/>
      <c r="J165" s="12"/>
      <c r="K165" s="10"/>
    </row>
    <row r="166" customFormat="false" ht="15" hidden="false" customHeight="false" outlineLevel="0" collapsed="false">
      <c r="A166" s="10"/>
      <c r="B166" s="10"/>
      <c r="C166" s="10"/>
      <c r="D166" s="10"/>
      <c r="E166" s="12"/>
      <c r="F166" s="10"/>
      <c r="G166" s="10"/>
      <c r="H166" s="10"/>
      <c r="I166" s="10"/>
      <c r="J166" s="12"/>
      <c r="K166" s="10"/>
    </row>
    <row r="167" customFormat="false" ht="15" hidden="false" customHeight="false" outlineLevel="0" collapsed="false">
      <c r="A167" s="10"/>
      <c r="B167" s="10"/>
      <c r="C167" s="10"/>
      <c r="D167" s="10"/>
      <c r="E167" s="12"/>
      <c r="F167" s="10"/>
      <c r="G167" s="10"/>
      <c r="H167" s="10"/>
      <c r="I167" s="10"/>
      <c r="J167" s="12"/>
      <c r="K167" s="10"/>
    </row>
    <row r="168" customFormat="false" ht="15" hidden="false" customHeight="false" outlineLevel="0" collapsed="false">
      <c r="A168" s="10"/>
      <c r="B168" s="10"/>
      <c r="C168" s="10"/>
      <c r="D168" s="10"/>
      <c r="E168" s="12"/>
      <c r="F168" s="10"/>
      <c r="G168" s="10"/>
      <c r="H168" s="10"/>
      <c r="I168" s="10"/>
      <c r="J168" s="12"/>
      <c r="K168" s="10"/>
    </row>
    <row r="169" customFormat="false" ht="15" hidden="false" customHeight="false" outlineLevel="0" collapsed="false">
      <c r="A169" s="10"/>
      <c r="B169" s="10"/>
      <c r="C169" s="10"/>
      <c r="D169" s="10"/>
      <c r="E169" s="12"/>
      <c r="F169" s="10"/>
      <c r="G169" s="10"/>
      <c r="H169" s="10"/>
      <c r="I169" s="10"/>
      <c r="J169" s="12"/>
      <c r="K169" s="10"/>
    </row>
    <row r="170" customFormat="false" ht="15" hidden="false" customHeight="false" outlineLevel="0" collapsed="false">
      <c r="A170" s="10"/>
      <c r="B170" s="10"/>
      <c r="C170" s="10"/>
      <c r="D170" s="10"/>
      <c r="E170" s="12"/>
      <c r="F170" s="10"/>
      <c r="G170" s="10"/>
      <c r="H170" s="10"/>
      <c r="I170" s="10"/>
      <c r="J170" s="12"/>
      <c r="K170" s="10"/>
    </row>
    <row r="171" customFormat="false" ht="15" hidden="false" customHeight="false" outlineLevel="0" collapsed="false">
      <c r="A171" s="10"/>
      <c r="B171" s="10"/>
      <c r="C171" s="10"/>
      <c r="D171" s="10"/>
      <c r="E171" s="12"/>
      <c r="F171" s="10"/>
      <c r="G171" s="10"/>
      <c r="H171" s="10"/>
      <c r="I171" s="10"/>
      <c r="J171" s="12"/>
      <c r="K171" s="10"/>
    </row>
    <row r="172" customFormat="false" ht="15" hidden="false" customHeight="false" outlineLevel="0" collapsed="false">
      <c r="A172" s="10"/>
      <c r="B172" s="10"/>
      <c r="C172" s="10"/>
      <c r="D172" s="10"/>
      <c r="E172" s="12"/>
      <c r="F172" s="10"/>
      <c r="G172" s="10"/>
      <c r="H172" s="10"/>
      <c r="I172" s="10"/>
      <c r="J172" s="12"/>
      <c r="K172" s="10"/>
    </row>
    <row r="173" customFormat="false" ht="15" hidden="false" customHeight="false" outlineLevel="0" collapsed="false">
      <c r="A173" s="10"/>
      <c r="B173" s="10"/>
      <c r="C173" s="10"/>
      <c r="D173" s="10"/>
      <c r="E173" s="12"/>
      <c r="F173" s="10"/>
      <c r="G173" s="10"/>
      <c r="H173" s="10"/>
      <c r="I173" s="10"/>
      <c r="J173" s="12"/>
      <c r="K173" s="10"/>
    </row>
    <row r="174" customFormat="false" ht="15" hidden="false" customHeight="false" outlineLevel="0" collapsed="false">
      <c r="A174" s="10"/>
      <c r="B174" s="10"/>
      <c r="C174" s="10"/>
      <c r="D174" s="10"/>
      <c r="E174" s="12"/>
      <c r="F174" s="10"/>
      <c r="G174" s="10"/>
      <c r="H174" s="10"/>
      <c r="I174" s="10"/>
      <c r="J174" s="12"/>
      <c r="K174" s="10"/>
    </row>
    <row r="175" customFormat="false" ht="15" hidden="false" customHeight="false" outlineLevel="0" collapsed="false">
      <c r="A175" s="10"/>
      <c r="B175" s="10"/>
      <c r="C175" s="10"/>
      <c r="D175" s="10"/>
      <c r="E175" s="12"/>
      <c r="F175" s="10"/>
      <c r="G175" s="10"/>
      <c r="H175" s="10"/>
      <c r="I175" s="10"/>
      <c r="J175" s="12"/>
      <c r="K175" s="10"/>
    </row>
    <row r="176" customFormat="false" ht="15" hidden="false" customHeight="false" outlineLevel="0" collapsed="false">
      <c r="A176" s="10"/>
      <c r="B176" s="10"/>
      <c r="C176" s="10"/>
      <c r="D176" s="10"/>
      <c r="E176" s="12"/>
      <c r="F176" s="10"/>
      <c r="G176" s="10"/>
      <c r="H176" s="10"/>
      <c r="I176" s="10"/>
      <c r="J176" s="12"/>
      <c r="K176" s="10"/>
    </row>
    <row r="177" customFormat="false" ht="15" hidden="false" customHeight="false" outlineLevel="0" collapsed="false">
      <c r="A177" s="10"/>
      <c r="B177" s="10"/>
      <c r="C177" s="10"/>
      <c r="D177" s="10"/>
      <c r="E177" s="12"/>
      <c r="F177" s="10"/>
      <c r="G177" s="10"/>
      <c r="H177" s="10"/>
      <c r="I177" s="10"/>
      <c r="J177" s="12"/>
      <c r="K177" s="10"/>
    </row>
    <row r="178" customFormat="false" ht="15" hidden="false" customHeight="false" outlineLevel="0" collapsed="false">
      <c r="A178" s="10"/>
      <c r="B178" s="10"/>
      <c r="C178" s="10"/>
      <c r="D178" s="10"/>
      <c r="E178" s="12"/>
      <c r="F178" s="10"/>
      <c r="G178" s="10"/>
      <c r="H178" s="10"/>
      <c r="I178" s="10"/>
      <c r="J178" s="12"/>
      <c r="K178" s="10"/>
    </row>
    <row r="179" customFormat="false" ht="15" hidden="false" customHeight="false" outlineLevel="0" collapsed="false">
      <c r="A179" s="10"/>
      <c r="B179" s="10"/>
      <c r="C179" s="10"/>
      <c r="D179" s="10"/>
      <c r="E179" s="12"/>
      <c r="F179" s="10"/>
      <c r="G179" s="10"/>
      <c r="H179" s="10"/>
      <c r="I179" s="10"/>
      <c r="J179" s="12"/>
      <c r="K179" s="10"/>
    </row>
    <row r="180" customFormat="false" ht="15" hidden="false" customHeight="false" outlineLevel="0" collapsed="false">
      <c r="A180" s="10"/>
      <c r="B180" s="10"/>
      <c r="C180" s="10"/>
      <c r="D180" s="10"/>
      <c r="E180" s="12"/>
      <c r="F180" s="10"/>
      <c r="G180" s="10"/>
      <c r="H180" s="10"/>
      <c r="I180" s="10"/>
      <c r="J180" s="12"/>
      <c r="K180" s="10"/>
    </row>
    <row r="181" customFormat="false" ht="15" hidden="false" customHeight="false" outlineLevel="0" collapsed="false">
      <c r="A181" s="10"/>
      <c r="B181" s="10"/>
      <c r="C181" s="10"/>
      <c r="D181" s="10"/>
      <c r="E181" s="12"/>
      <c r="F181" s="10"/>
      <c r="G181" s="10"/>
      <c r="H181" s="10"/>
      <c r="I181" s="10"/>
      <c r="J181" s="12"/>
      <c r="K181" s="10"/>
    </row>
    <row r="182" customFormat="false" ht="15" hidden="false" customHeight="false" outlineLevel="0" collapsed="false">
      <c r="A182" s="10"/>
      <c r="B182" s="10"/>
      <c r="C182" s="10"/>
      <c r="D182" s="10"/>
      <c r="E182" s="12"/>
      <c r="F182" s="10"/>
      <c r="G182" s="10"/>
      <c r="H182" s="10"/>
      <c r="I182" s="10"/>
      <c r="J182" s="12"/>
      <c r="K182" s="10"/>
    </row>
    <row r="183" customFormat="false" ht="15" hidden="false" customHeight="false" outlineLevel="0" collapsed="false">
      <c r="A183" s="10"/>
      <c r="B183" s="10"/>
      <c r="C183" s="10"/>
      <c r="D183" s="10"/>
      <c r="E183" s="12"/>
      <c r="F183" s="10"/>
      <c r="G183" s="10"/>
      <c r="H183" s="10"/>
      <c r="I183" s="10"/>
      <c r="J183" s="12"/>
      <c r="K183" s="10"/>
    </row>
    <row r="184" customFormat="false" ht="15" hidden="false" customHeight="false" outlineLevel="0" collapsed="false">
      <c r="A184" s="10"/>
      <c r="B184" s="10"/>
      <c r="C184" s="10"/>
      <c r="D184" s="10"/>
      <c r="E184" s="12"/>
      <c r="F184" s="10"/>
      <c r="G184" s="10"/>
      <c r="H184" s="10"/>
      <c r="I184" s="10"/>
      <c r="J184" s="12"/>
      <c r="K184" s="10"/>
    </row>
    <row r="185" customFormat="false" ht="15" hidden="false" customHeight="false" outlineLevel="0" collapsed="false">
      <c r="A185" s="10"/>
      <c r="B185" s="10"/>
      <c r="C185" s="10"/>
      <c r="D185" s="10"/>
      <c r="E185" s="12"/>
      <c r="F185" s="10"/>
      <c r="G185" s="10"/>
      <c r="H185" s="10"/>
      <c r="I185" s="10"/>
      <c r="J185" s="12"/>
      <c r="K185" s="10"/>
    </row>
    <row r="186" customFormat="false" ht="15" hidden="false" customHeight="false" outlineLevel="0" collapsed="false">
      <c r="A186" s="10"/>
      <c r="B186" s="10"/>
      <c r="C186" s="10"/>
      <c r="D186" s="10"/>
      <c r="E186" s="12"/>
      <c r="F186" s="10"/>
      <c r="G186" s="10"/>
      <c r="H186" s="10"/>
      <c r="I186" s="10"/>
      <c r="J186" s="12"/>
      <c r="K186" s="10"/>
    </row>
    <row r="187" customFormat="false" ht="15" hidden="false" customHeight="false" outlineLevel="0" collapsed="false">
      <c r="A187" s="10"/>
      <c r="B187" s="10"/>
      <c r="C187" s="10"/>
      <c r="D187" s="10"/>
      <c r="E187" s="12"/>
      <c r="F187" s="10"/>
      <c r="G187" s="10"/>
      <c r="H187" s="10"/>
      <c r="I187" s="10"/>
      <c r="J187" s="12"/>
      <c r="K187" s="10"/>
    </row>
    <row r="188" customFormat="false" ht="15" hidden="false" customHeight="false" outlineLevel="0" collapsed="false">
      <c r="A188" s="10"/>
      <c r="B188" s="10"/>
      <c r="C188" s="10"/>
      <c r="D188" s="10"/>
      <c r="E188" s="12"/>
      <c r="F188" s="10"/>
      <c r="G188" s="10"/>
      <c r="H188" s="10"/>
      <c r="I188" s="10"/>
      <c r="J188" s="12"/>
      <c r="K188" s="10"/>
    </row>
    <row r="189" customFormat="false" ht="15" hidden="false" customHeight="false" outlineLevel="0" collapsed="false">
      <c r="A189" s="10"/>
      <c r="B189" s="10"/>
      <c r="C189" s="10"/>
      <c r="D189" s="10"/>
      <c r="E189" s="12"/>
      <c r="F189" s="10"/>
      <c r="G189" s="10"/>
      <c r="H189" s="10"/>
      <c r="I189" s="10"/>
      <c r="J189" s="12"/>
      <c r="K189" s="10"/>
    </row>
    <row r="190" customFormat="false" ht="15" hidden="false" customHeight="false" outlineLevel="0" collapsed="false">
      <c r="A190" s="10"/>
      <c r="B190" s="10"/>
      <c r="C190" s="10"/>
      <c r="D190" s="10"/>
      <c r="E190" s="12"/>
      <c r="F190" s="10"/>
      <c r="G190" s="10"/>
      <c r="H190" s="10"/>
      <c r="I190" s="10"/>
      <c r="J190" s="12"/>
      <c r="K190" s="10"/>
    </row>
    <row r="191" customFormat="false" ht="15" hidden="false" customHeight="false" outlineLevel="0" collapsed="false">
      <c r="A191" s="10"/>
      <c r="B191" s="10"/>
      <c r="C191" s="10"/>
      <c r="D191" s="10"/>
      <c r="E191" s="12"/>
      <c r="F191" s="10"/>
      <c r="G191" s="10"/>
      <c r="H191" s="10"/>
      <c r="I191" s="10"/>
      <c r="J191" s="12"/>
      <c r="K191" s="10"/>
    </row>
    <row r="192" customFormat="false" ht="15" hidden="false" customHeight="false" outlineLevel="0" collapsed="false">
      <c r="A192" s="10"/>
      <c r="B192" s="10"/>
      <c r="C192" s="10"/>
      <c r="D192" s="10"/>
      <c r="E192" s="12"/>
      <c r="F192" s="10"/>
      <c r="G192" s="10"/>
      <c r="H192" s="10"/>
      <c r="I192" s="10"/>
      <c r="J192" s="12"/>
      <c r="K192" s="10"/>
    </row>
    <row r="193" customFormat="false" ht="15" hidden="false" customHeight="false" outlineLevel="0" collapsed="false">
      <c r="A193" s="10"/>
      <c r="B193" s="10"/>
      <c r="C193" s="10"/>
      <c r="D193" s="10"/>
      <c r="E193" s="12"/>
      <c r="F193" s="10"/>
      <c r="G193" s="10"/>
      <c r="H193" s="10"/>
      <c r="I193" s="10"/>
      <c r="J193" s="12"/>
      <c r="K193" s="10"/>
    </row>
    <row r="194" customFormat="false" ht="15" hidden="false" customHeight="false" outlineLevel="0" collapsed="false">
      <c r="A194" s="10"/>
      <c r="B194" s="10"/>
      <c r="C194" s="10"/>
      <c r="D194" s="10"/>
      <c r="E194" s="12"/>
      <c r="F194" s="10"/>
      <c r="G194" s="10"/>
      <c r="H194" s="10"/>
      <c r="I194" s="10"/>
      <c r="J194" s="12"/>
      <c r="K194" s="10"/>
    </row>
    <row r="195" customFormat="false" ht="15" hidden="false" customHeight="false" outlineLevel="0" collapsed="false">
      <c r="A195" s="10"/>
      <c r="B195" s="10"/>
      <c r="C195" s="10"/>
      <c r="D195" s="10"/>
      <c r="E195" s="12"/>
      <c r="F195" s="10"/>
      <c r="G195" s="10"/>
      <c r="H195" s="10"/>
      <c r="I195" s="10"/>
      <c r="J195" s="12"/>
      <c r="K195" s="10"/>
    </row>
    <row r="196" customFormat="false" ht="15" hidden="false" customHeight="false" outlineLevel="0" collapsed="false">
      <c r="A196" s="10"/>
      <c r="B196" s="10"/>
      <c r="C196" s="10"/>
      <c r="D196" s="10"/>
      <c r="E196" s="12"/>
      <c r="F196" s="10"/>
      <c r="G196" s="10"/>
      <c r="H196" s="10"/>
      <c r="I196" s="10"/>
      <c r="J196" s="12"/>
      <c r="K196" s="10"/>
    </row>
    <row r="197" customFormat="false" ht="15" hidden="false" customHeight="false" outlineLevel="0" collapsed="false">
      <c r="A197" s="10"/>
      <c r="B197" s="10"/>
      <c r="C197" s="10"/>
      <c r="D197" s="10"/>
      <c r="E197" s="12"/>
      <c r="F197" s="10"/>
      <c r="G197" s="10"/>
      <c r="H197" s="10"/>
      <c r="I197" s="10"/>
      <c r="J197" s="12"/>
      <c r="K197" s="10"/>
    </row>
    <row r="198" customFormat="false" ht="15" hidden="false" customHeight="false" outlineLevel="0" collapsed="false">
      <c r="A198" s="10"/>
      <c r="B198" s="10"/>
      <c r="C198" s="10"/>
      <c r="D198" s="10"/>
      <c r="E198" s="12"/>
      <c r="F198" s="10"/>
      <c r="G198" s="10"/>
      <c r="H198" s="10"/>
      <c r="I198" s="10"/>
      <c r="J198" s="12"/>
      <c r="K198" s="10"/>
    </row>
    <row r="199" customFormat="false" ht="15" hidden="false" customHeight="false" outlineLevel="0" collapsed="false">
      <c r="A199" s="10"/>
      <c r="B199" s="10"/>
      <c r="C199" s="10"/>
      <c r="D199" s="10"/>
      <c r="E199" s="12"/>
      <c r="F199" s="10"/>
      <c r="G199" s="10"/>
      <c r="H199" s="10"/>
      <c r="I199" s="10"/>
      <c r="J199" s="12"/>
      <c r="K199" s="10"/>
    </row>
    <row r="200" customFormat="false" ht="15" hidden="false" customHeight="false" outlineLevel="0" collapsed="false">
      <c r="A200" s="10"/>
      <c r="B200" s="10"/>
      <c r="C200" s="10"/>
      <c r="D200" s="10"/>
      <c r="E200" s="12"/>
      <c r="F200" s="10"/>
      <c r="G200" s="10"/>
      <c r="H200" s="10"/>
      <c r="I200" s="10"/>
      <c r="J200" s="12"/>
      <c r="K200" s="10"/>
    </row>
  </sheetData>
  <autoFilter ref="A1:K200"/>
  <dataValidations count="4">
    <dataValidation allowBlank="true" errorStyle="stop" operator="between" showDropDown="false" showErrorMessage="false" showInputMessage="false" sqref="D2:D200" type="list">
      <formula1>"Zillow,MLS,Craigslist,Facebook,微信,小红书,网站,推荐,其他"</formula1>
      <formula2>0</formula2>
    </dataValidation>
    <dataValidation allowBlank="true" errorStyle="stop" operator="between" showDropDown="false" showErrorMessage="false" showInputMessage="false" sqref="G2:G200" type="list">
      <formula1>"是,否"</formula1>
      <formula2>0</formula2>
    </dataValidation>
    <dataValidation allowBlank="true" errorStyle="stop" operator="between" showDropDown="false" showErrorMessage="false" showInputMessage="false" sqref="I2:I200" type="list">
      <formula1>"热,温,冷"</formula1>
      <formula2>0</formula2>
    </dataValidation>
    <dataValidation allowBlank="true" errorStyle="stop" operator="between" showDropDown="false" showErrorMessage="false" showInputMessage="false" sqref="K2:K200" type="list">
      <formula1>"询盘,已约看,已看房,已申请,审核中,已选定,未选中,已签约"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1" min="9" style="0" width="12"/>
    <col collapsed="false" customWidth="true" hidden="false" outlineLevel="0" max="12" min="12" style="0" width="34"/>
  </cols>
  <sheetData>
    <row r="1" customFormat="false" ht="36" hidden="false" customHeight="true" outlineLevel="0" collapsed="false">
      <c r="A1" s="8" t="s">
        <v>46</v>
      </c>
      <c r="B1" s="8" t="s">
        <v>103</v>
      </c>
      <c r="C1" s="8" t="s">
        <v>104</v>
      </c>
      <c r="D1" s="8" t="s">
        <v>105</v>
      </c>
      <c r="E1" s="8" t="s">
        <v>106</v>
      </c>
      <c r="F1" s="8" t="s">
        <v>107</v>
      </c>
      <c r="G1" s="8" t="s">
        <v>108</v>
      </c>
      <c r="H1" s="8" t="s">
        <v>109</v>
      </c>
      <c r="I1" s="8" t="s">
        <v>110</v>
      </c>
      <c r="J1" s="8" t="s">
        <v>56</v>
      </c>
      <c r="K1" s="8" t="s">
        <v>111</v>
      </c>
      <c r="L1" s="8" t="s">
        <v>112</v>
      </c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2"/>
      <c r="L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2"/>
      <c r="L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2"/>
      <c r="L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2"/>
      <c r="L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2"/>
      <c r="L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2"/>
      <c r="L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2"/>
      <c r="L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2"/>
      <c r="L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2"/>
      <c r="L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2"/>
      <c r="L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2"/>
      <c r="L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2"/>
      <c r="L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2"/>
      <c r="L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2"/>
      <c r="L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2"/>
      <c r="L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2"/>
      <c r="L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2"/>
      <c r="L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2"/>
      <c r="L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2"/>
      <c r="L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2"/>
      <c r="L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2"/>
      <c r="L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2"/>
      <c r="L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2"/>
      <c r="L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2"/>
      <c r="L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2"/>
      <c r="L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2"/>
      <c r="L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2"/>
      <c r="L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2"/>
      <c r="L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2"/>
      <c r="L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2"/>
      <c r="L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2"/>
      <c r="L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2"/>
      <c r="L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2"/>
      <c r="L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2"/>
      <c r="L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2"/>
      <c r="L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2"/>
      <c r="L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2"/>
      <c r="L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2"/>
      <c r="L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2"/>
      <c r="L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2"/>
      <c r="L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2"/>
      <c r="L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2"/>
      <c r="L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2"/>
      <c r="L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2"/>
      <c r="L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2"/>
      <c r="L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2"/>
      <c r="L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2"/>
      <c r="L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2"/>
      <c r="L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2"/>
      <c r="L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2"/>
      <c r="L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2"/>
      <c r="L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2"/>
      <c r="L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2"/>
      <c r="L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2"/>
      <c r="L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2"/>
      <c r="L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2"/>
      <c r="L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2"/>
      <c r="L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2"/>
      <c r="L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2"/>
      <c r="L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2"/>
      <c r="L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2"/>
      <c r="L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2"/>
      <c r="L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2"/>
      <c r="L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2"/>
      <c r="L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2"/>
      <c r="L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2"/>
      <c r="L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2"/>
      <c r="L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2"/>
      <c r="L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2"/>
      <c r="L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2"/>
      <c r="L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2"/>
      <c r="L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2"/>
      <c r="L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2"/>
      <c r="L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2"/>
      <c r="L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2"/>
      <c r="L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2"/>
      <c r="L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2"/>
      <c r="L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2"/>
      <c r="L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2"/>
      <c r="L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2"/>
      <c r="L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2"/>
      <c r="L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2"/>
      <c r="L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2"/>
      <c r="L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2"/>
      <c r="L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2"/>
      <c r="L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2"/>
      <c r="L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2"/>
      <c r="L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2"/>
      <c r="L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2"/>
      <c r="L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2"/>
      <c r="L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2"/>
      <c r="L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2"/>
      <c r="L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2"/>
      <c r="L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2"/>
      <c r="L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2"/>
      <c r="L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2"/>
      <c r="L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2"/>
      <c r="L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2"/>
      <c r="L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2"/>
      <c r="L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2"/>
      <c r="L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2"/>
      <c r="L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2"/>
      <c r="L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2"/>
      <c r="L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2"/>
      <c r="L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2"/>
      <c r="L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2"/>
      <c r="L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2"/>
      <c r="L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2"/>
      <c r="L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2"/>
      <c r="L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2"/>
      <c r="L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2"/>
      <c r="L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2"/>
      <c r="L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2"/>
      <c r="L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2"/>
      <c r="L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2"/>
      <c r="L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2"/>
      <c r="L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2"/>
      <c r="L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2"/>
      <c r="L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2"/>
      <c r="L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2"/>
      <c r="L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2"/>
      <c r="L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2"/>
      <c r="L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2"/>
      <c r="L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2"/>
      <c r="L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2"/>
      <c r="L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2"/>
      <c r="L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2"/>
      <c r="L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2"/>
      <c r="L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2"/>
      <c r="L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2"/>
      <c r="L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2"/>
      <c r="L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2"/>
      <c r="L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2"/>
      <c r="L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2"/>
      <c r="L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2"/>
      <c r="L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2"/>
      <c r="L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2"/>
      <c r="L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2"/>
      <c r="L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2"/>
      <c r="L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2"/>
      <c r="L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2"/>
      <c r="L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2"/>
      <c r="L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2"/>
      <c r="L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2"/>
      <c r="L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2"/>
      <c r="L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2"/>
      <c r="L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2"/>
      <c r="L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2"/>
      <c r="L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2"/>
      <c r="L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2"/>
      <c r="L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2"/>
      <c r="L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2"/>
      <c r="L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2"/>
      <c r="L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2"/>
      <c r="L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2"/>
      <c r="L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2"/>
      <c r="L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2"/>
      <c r="L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2"/>
      <c r="L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2"/>
      <c r="L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2"/>
      <c r="L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2"/>
      <c r="L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2"/>
      <c r="L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2"/>
      <c r="L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2"/>
      <c r="L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2"/>
      <c r="L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2"/>
      <c r="L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2"/>
      <c r="L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2"/>
      <c r="L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2"/>
      <c r="L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2"/>
      <c r="L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2"/>
      <c r="L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2"/>
      <c r="L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2"/>
      <c r="L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2"/>
      <c r="L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2"/>
      <c r="L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2"/>
      <c r="L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2"/>
      <c r="L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2"/>
      <c r="L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2"/>
      <c r="L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2"/>
      <c r="L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2"/>
      <c r="L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2"/>
      <c r="L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2"/>
      <c r="L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2"/>
      <c r="L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2"/>
      <c r="L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2"/>
      <c r="L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2"/>
      <c r="L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2"/>
      <c r="L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2"/>
      <c r="L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2"/>
      <c r="L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2"/>
      <c r="L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2"/>
      <c r="L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2"/>
      <c r="L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2"/>
      <c r="L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2"/>
      <c r="L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2"/>
      <c r="L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2"/>
      <c r="L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2"/>
      <c r="L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2"/>
      <c r="L200" s="10"/>
    </row>
  </sheetData>
  <autoFilter ref="A1:L200"/>
  <dataValidations count="5">
    <dataValidation allowBlank="true" errorStyle="stop" operator="between" showDropDown="false" showErrorMessage="false" showInputMessage="false" sqref="D2:D200" type="list">
      <formula1>"是,否"</formula1>
      <formula2>0</formula2>
    </dataValidation>
    <dataValidation allowBlank="true" errorStyle="stop" operator="between" showDropDown="false" showErrorMessage="false" showInputMessage="false" sqref="F2:F200" type="list">
      <formula1>"符合,不符合,替代证明,待定"</formula1>
      <formula2>0</formula2>
    </dataValidation>
    <dataValidation allowBlank="true" errorStyle="stop" operator="between" showDropDown="false" showErrorMessage="false" showInputMessage="false" sqref="H2:H200" type="list">
      <formula1>"已核实,待核实,有疑点"</formula1>
      <formula2>0</formula2>
    </dataValidation>
    <dataValidation allowBlank="true" errorStyle="stop" operator="between" showDropDown="false" showErrorMessage="false" showInputMessage="false" sqref="I2:I200" type="list">
      <formula1>"是,否,待补材料"</formula1>
      <formula2>0</formula2>
    </dataValidation>
    <dataValidation allowBlank="true" errorStyle="stop" operator="between" showDropDown="false" showErrorMessage="false" showInputMessage="false" sqref="J2:J200" type="list">
      <formula1>"审核中,待补材料,推荐,已选定,未选中,已拒绝"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8"/>
    <col collapsed="false" customWidth="true" hidden="false" outlineLevel="0" max="10" min="5" style="0" width="12"/>
    <col collapsed="false" customWidth="true" hidden="false" outlineLevel="0" max="11" min="11" style="0" width="16"/>
    <col collapsed="false" customWidth="true" hidden="false" outlineLevel="0" max="17" min="12" style="0" width="12"/>
  </cols>
  <sheetData>
    <row r="1" customFormat="false" ht="36" hidden="false" customHeight="true" outlineLevel="0" collapsed="false">
      <c r="A1" s="8" t="s">
        <v>113</v>
      </c>
      <c r="B1" s="8" t="s">
        <v>46</v>
      </c>
      <c r="C1" s="8" t="s">
        <v>114</v>
      </c>
      <c r="D1" s="8" t="s">
        <v>115</v>
      </c>
      <c r="E1" s="8" t="s">
        <v>116</v>
      </c>
      <c r="F1" s="8" t="s">
        <v>117</v>
      </c>
      <c r="G1" s="9" t="s">
        <v>118</v>
      </c>
      <c r="H1" s="8" t="s">
        <v>119</v>
      </c>
      <c r="I1" s="8" t="s">
        <v>120</v>
      </c>
      <c r="J1" s="8" t="s">
        <v>121</v>
      </c>
      <c r="K1" s="8" t="s">
        <v>122</v>
      </c>
      <c r="L1" s="8" t="s">
        <v>123</v>
      </c>
      <c r="M1" s="8" t="s">
        <v>124</v>
      </c>
      <c r="N1" s="8" t="s">
        <v>125</v>
      </c>
      <c r="O1" s="8" t="s">
        <v>126</v>
      </c>
      <c r="P1" s="8" t="s">
        <v>127</v>
      </c>
      <c r="Q1" s="8" t="s">
        <v>56</v>
      </c>
    </row>
    <row r="2" customFormat="false" ht="15" hidden="false" customHeight="false" outlineLevel="0" collapsed="false">
      <c r="A2" s="10"/>
      <c r="B2" s="10"/>
      <c r="C2" s="12"/>
      <c r="D2" s="10"/>
      <c r="E2" s="10"/>
      <c r="F2" s="10"/>
      <c r="G2" s="14" t="str">
        <f aca="false">IF(OR(C2="",F2=""),"",C2+IF(F2="紧急",0,IF(F2="优先",3,14)))</f>
        <v/>
      </c>
      <c r="H2" s="10"/>
      <c r="I2" s="10"/>
      <c r="J2" s="11"/>
      <c r="K2" s="12"/>
      <c r="L2" s="12"/>
      <c r="M2" s="12"/>
      <c r="N2" s="10"/>
      <c r="O2" s="10"/>
      <c r="P2" s="11"/>
      <c r="Q2" s="10"/>
    </row>
    <row r="3" customFormat="false" ht="15" hidden="false" customHeight="false" outlineLevel="0" collapsed="false">
      <c r="A3" s="10"/>
      <c r="B3" s="10"/>
      <c r="C3" s="12"/>
      <c r="D3" s="10"/>
      <c r="E3" s="10"/>
      <c r="F3" s="10"/>
      <c r="G3" s="14" t="str">
        <f aca="false">IF(OR(C3="",F3=""),"",C3+IF(F3="紧急",0,IF(F3="优先",3,14)))</f>
        <v/>
      </c>
      <c r="H3" s="10"/>
      <c r="I3" s="10"/>
      <c r="J3" s="11"/>
      <c r="K3" s="12"/>
      <c r="L3" s="12"/>
      <c r="M3" s="12"/>
      <c r="N3" s="10"/>
      <c r="O3" s="10"/>
      <c r="P3" s="11"/>
      <c r="Q3" s="10"/>
    </row>
    <row r="4" customFormat="false" ht="15" hidden="false" customHeight="false" outlineLevel="0" collapsed="false">
      <c r="A4" s="10"/>
      <c r="B4" s="10"/>
      <c r="C4" s="12"/>
      <c r="D4" s="10"/>
      <c r="E4" s="10"/>
      <c r="F4" s="10"/>
      <c r="G4" s="14" t="str">
        <f aca="false">IF(OR(C4="",F4=""),"",C4+IF(F4="紧急",0,IF(F4="优先",3,14)))</f>
        <v/>
      </c>
      <c r="H4" s="10"/>
      <c r="I4" s="10"/>
      <c r="J4" s="11"/>
      <c r="K4" s="12"/>
      <c r="L4" s="12"/>
      <c r="M4" s="12"/>
      <c r="N4" s="10"/>
      <c r="O4" s="10"/>
      <c r="P4" s="11"/>
      <c r="Q4" s="10"/>
    </row>
    <row r="5" customFormat="false" ht="15" hidden="false" customHeight="false" outlineLevel="0" collapsed="false">
      <c r="A5" s="10"/>
      <c r="B5" s="10"/>
      <c r="C5" s="12"/>
      <c r="D5" s="10"/>
      <c r="E5" s="10"/>
      <c r="F5" s="10"/>
      <c r="G5" s="14" t="str">
        <f aca="false">IF(OR(C5="",F5=""),"",C5+IF(F5="紧急",0,IF(F5="优先",3,14)))</f>
        <v/>
      </c>
      <c r="H5" s="10"/>
      <c r="I5" s="10"/>
      <c r="J5" s="11"/>
      <c r="K5" s="12"/>
      <c r="L5" s="12"/>
      <c r="M5" s="12"/>
      <c r="N5" s="10"/>
      <c r="O5" s="10"/>
      <c r="P5" s="11"/>
      <c r="Q5" s="10"/>
    </row>
    <row r="6" customFormat="false" ht="15" hidden="false" customHeight="false" outlineLevel="0" collapsed="false">
      <c r="A6" s="10"/>
      <c r="B6" s="10"/>
      <c r="C6" s="12"/>
      <c r="D6" s="10"/>
      <c r="E6" s="10"/>
      <c r="F6" s="10"/>
      <c r="G6" s="14" t="str">
        <f aca="false">IF(OR(C6="",F6=""),"",C6+IF(F6="紧急",0,IF(F6="优先",3,14)))</f>
        <v/>
      </c>
      <c r="H6" s="10"/>
      <c r="I6" s="10"/>
      <c r="J6" s="11"/>
      <c r="K6" s="12"/>
      <c r="L6" s="12"/>
      <c r="M6" s="12"/>
      <c r="N6" s="10"/>
      <c r="O6" s="10"/>
      <c r="P6" s="11"/>
      <c r="Q6" s="10"/>
    </row>
    <row r="7" customFormat="false" ht="15" hidden="false" customHeight="false" outlineLevel="0" collapsed="false">
      <c r="A7" s="10"/>
      <c r="B7" s="10"/>
      <c r="C7" s="12"/>
      <c r="D7" s="10"/>
      <c r="E7" s="10"/>
      <c r="F7" s="10"/>
      <c r="G7" s="14" t="str">
        <f aca="false">IF(OR(C7="",F7=""),"",C7+IF(F7="紧急",0,IF(F7="优先",3,14)))</f>
        <v/>
      </c>
      <c r="H7" s="10"/>
      <c r="I7" s="10"/>
      <c r="J7" s="11"/>
      <c r="K7" s="12"/>
      <c r="L7" s="12"/>
      <c r="M7" s="12"/>
      <c r="N7" s="10"/>
      <c r="O7" s="10"/>
      <c r="P7" s="11"/>
      <c r="Q7" s="10"/>
    </row>
    <row r="8" customFormat="false" ht="15" hidden="false" customHeight="false" outlineLevel="0" collapsed="false">
      <c r="A8" s="10"/>
      <c r="B8" s="10"/>
      <c r="C8" s="12"/>
      <c r="D8" s="10"/>
      <c r="E8" s="10"/>
      <c r="F8" s="10"/>
      <c r="G8" s="14" t="str">
        <f aca="false">IF(OR(C8="",F8=""),"",C8+IF(F8="紧急",0,IF(F8="优先",3,14)))</f>
        <v/>
      </c>
      <c r="H8" s="10"/>
      <c r="I8" s="10"/>
      <c r="J8" s="11"/>
      <c r="K8" s="12"/>
      <c r="L8" s="12"/>
      <c r="M8" s="12"/>
      <c r="N8" s="10"/>
      <c r="O8" s="10"/>
      <c r="P8" s="11"/>
      <c r="Q8" s="10"/>
    </row>
    <row r="9" customFormat="false" ht="15" hidden="false" customHeight="false" outlineLevel="0" collapsed="false">
      <c r="A9" s="10"/>
      <c r="B9" s="10"/>
      <c r="C9" s="12"/>
      <c r="D9" s="10"/>
      <c r="E9" s="10"/>
      <c r="F9" s="10"/>
      <c r="G9" s="14" t="str">
        <f aca="false">IF(OR(C9="",F9=""),"",C9+IF(F9="紧急",0,IF(F9="优先",3,14)))</f>
        <v/>
      </c>
      <c r="H9" s="10"/>
      <c r="I9" s="10"/>
      <c r="J9" s="11"/>
      <c r="K9" s="12"/>
      <c r="L9" s="12"/>
      <c r="M9" s="12"/>
      <c r="N9" s="10"/>
      <c r="O9" s="10"/>
      <c r="P9" s="11"/>
      <c r="Q9" s="10"/>
    </row>
    <row r="10" customFormat="false" ht="15" hidden="false" customHeight="false" outlineLevel="0" collapsed="false">
      <c r="A10" s="10"/>
      <c r="B10" s="10"/>
      <c r="C10" s="12"/>
      <c r="D10" s="10"/>
      <c r="E10" s="10"/>
      <c r="F10" s="10"/>
      <c r="G10" s="14" t="str">
        <f aca="false">IF(OR(C10="",F10=""),"",C10+IF(F10="紧急",0,IF(F10="优先",3,14)))</f>
        <v/>
      </c>
      <c r="H10" s="10"/>
      <c r="I10" s="10"/>
      <c r="J10" s="11"/>
      <c r="K10" s="12"/>
      <c r="L10" s="12"/>
      <c r="M10" s="12"/>
      <c r="N10" s="10"/>
      <c r="O10" s="10"/>
      <c r="P10" s="11"/>
      <c r="Q10" s="10"/>
    </row>
    <row r="11" customFormat="false" ht="15" hidden="false" customHeight="false" outlineLevel="0" collapsed="false">
      <c r="A11" s="10"/>
      <c r="B11" s="10"/>
      <c r="C11" s="12"/>
      <c r="D11" s="10"/>
      <c r="E11" s="10"/>
      <c r="F11" s="10"/>
      <c r="G11" s="14" t="str">
        <f aca="false">IF(OR(C11="",F11=""),"",C11+IF(F11="紧急",0,IF(F11="优先",3,14)))</f>
        <v/>
      </c>
      <c r="H11" s="10"/>
      <c r="I11" s="10"/>
      <c r="J11" s="11"/>
      <c r="K11" s="12"/>
      <c r="L11" s="12"/>
      <c r="M11" s="12"/>
      <c r="N11" s="10"/>
      <c r="O11" s="10"/>
      <c r="P11" s="11"/>
      <c r="Q11" s="10"/>
    </row>
    <row r="12" customFormat="false" ht="15" hidden="false" customHeight="false" outlineLevel="0" collapsed="false">
      <c r="A12" s="10"/>
      <c r="B12" s="10"/>
      <c r="C12" s="12"/>
      <c r="D12" s="10"/>
      <c r="E12" s="10"/>
      <c r="F12" s="10"/>
      <c r="G12" s="14" t="str">
        <f aca="false">IF(OR(C12="",F12=""),"",C12+IF(F12="紧急",0,IF(F12="优先",3,14)))</f>
        <v/>
      </c>
      <c r="H12" s="10"/>
      <c r="I12" s="10"/>
      <c r="J12" s="11"/>
      <c r="K12" s="12"/>
      <c r="L12" s="12"/>
      <c r="M12" s="12"/>
      <c r="N12" s="10"/>
      <c r="O12" s="10"/>
      <c r="P12" s="11"/>
      <c r="Q12" s="10"/>
    </row>
    <row r="13" customFormat="false" ht="15" hidden="false" customHeight="false" outlineLevel="0" collapsed="false">
      <c r="A13" s="10"/>
      <c r="B13" s="10"/>
      <c r="C13" s="12"/>
      <c r="D13" s="10"/>
      <c r="E13" s="10"/>
      <c r="F13" s="10"/>
      <c r="G13" s="14" t="str">
        <f aca="false">IF(OR(C13="",F13=""),"",C13+IF(F13="紧急",0,IF(F13="优先",3,14)))</f>
        <v/>
      </c>
      <c r="H13" s="10"/>
      <c r="I13" s="10"/>
      <c r="J13" s="11"/>
      <c r="K13" s="12"/>
      <c r="L13" s="12"/>
      <c r="M13" s="12"/>
      <c r="N13" s="10"/>
      <c r="O13" s="10"/>
      <c r="P13" s="11"/>
      <c r="Q13" s="10"/>
    </row>
    <row r="14" customFormat="false" ht="15" hidden="false" customHeight="false" outlineLevel="0" collapsed="false">
      <c r="A14" s="10"/>
      <c r="B14" s="10"/>
      <c r="C14" s="12"/>
      <c r="D14" s="10"/>
      <c r="E14" s="10"/>
      <c r="F14" s="10"/>
      <c r="G14" s="14" t="str">
        <f aca="false">IF(OR(C14="",F14=""),"",C14+IF(F14="紧急",0,IF(F14="优先",3,14)))</f>
        <v/>
      </c>
      <c r="H14" s="10"/>
      <c r="I14" s="10"/>
      <c r="J14" s="11"/>
      <c r="K14" s="12"/>
      <c r="L14" s="12"/>
      <c r="M14" s="12"/>
      <c r="N14" s="10"/>
      <c r="O14" s="10"/>
      <c r="P14" s="11"/>
      <c r="Q14" s="10"/>
    </row>
    <row r="15" customFormat="false" ht="15" hidden="false" customHeight="false" outlineLevel="0" collapsed="false">
      <c r="A15" s="10"/>
      <c r="B15" s="10"/>
      <c r="C15" s="12"/>
      <c r="D15" s="10"/>
      <c r="E15" s="10"/>
      <c r="F15" s="10"/>
      <c r="G15" s="14" t="str">
        <f aca="false">IF(OR(C15="",F15=""),"",C15+IF(F15="紧急",0,IF(F15="优先",3,14)))</f>
        <v/>
      </c>
      <c r="H15" s="10"/>
      <c r="I15" s="10"/>
      <c r="J15" s="11"/>
      <c r="K15" s="12"/>
      <c r="L15" s="12"/>
      <c r="M15" s="12"/>
      <c r="N15" s="10"/>
      <c r="O15" s="10"/>
      <c r="P15" s="11"/>
      <c r="Q15" s="10"/>
    </row>
    <row r="16" customFormat="false" ht="15" hidden="false" customHeight="false" outlineLevel="0" collapsed="false">
      <c r="A16" s="10"/>
      <c r="B16" s="10"/>
      <c r="C16" s="12"/>
      <c r="D16" s="10"/>
      <c r="E16" s="10"/>
      <c r="F16" s="10"/>
      <c r="G16" s="14" t="str">
        <f aca="false">IF(OR(C16="",F16=""),"",C16+IF(F16="紧急",0,IF(F16="优先",3,14)))</f>
        <v/>
      </c>
      <c r="H16" s="10"/>
      <c r="I16" s="10"/>
      <c r="J16" s="11"/>
      <c r="K16" s="12"/>
      <c r="L16" s="12"/>
      <c r="M16" s="12"/>
      <c r="N16" s="10"/>
      <c r="O16" s="10"/>
      <c r="P16" s="11"/>
      <c r="Q16" s="10"/>
    </row>
    <row r="17" customFormat="false" ht="15" hidden="false" customHeight="false" outlineLevel="0" collapsed="false">
      <c r="A17" s="10"/>
      <c r="B17" s="10"/>
      <c r="C17" s="12"/>
      <c r="D17" s="10"/>
      <c r="E17" s="10"/>
      <c r="F17" s="10"/>
      <c r="G17" s="14" t="str">
        <f aca="false">IF(OR(C17="",F17=""),"",C17+IF(F17="紧急",0,IF(F17="优先",3,14)))</f>
        <v/>
      </c>
      <c r="H17" s="10"/>
      <c r="I17" s="10"/>
      <c r="J17" s="11"/>
      <c r="K17" s="12"/>
      <c r="L17" s="12"/>
      <c r="M17" s="12"/>
      <c r="N17" s="10"/>
      <c r="O17" s="10"/>
      <c r="P17" s="11"/>
      <c r="Q17" s="10"/>
    </row>
    <row r="18" customFormat="false" ht="15" hidden="false" customHeight="false" outlineLevel="0" collapsed="false">
      <c r="A18" s="10"/>
      <c r="B18" s="10"/>
      <c r="C18" s="12"/>
      <c r="D18" s="10"/>
      <c r="E18" s="10"/>
      <c r="F18" s="10"/>
      <c r="G18" s="14" t="str">
        <f aca="false">IF(OR(C18="",F18=""),"",C18+IF(F18="紧急",0,IF(F18="优先",3,14)))</f>
        <v/>
      </c>
      <c r="H18" s="10"/>
      <c r="I18" s="10"/>
      <c r="J18" s="11"/>
      <c r="K18" s="12"/>
      <c r="L18" s="12"/>
      <c r="M18" s="12"/>
      <c r="N18" s="10"/>
      <c r="O18" s="10"/>
      <c r="P18" s="11"/>
      <c r="Q18" s="10"/>
    </row>
    <row r="19" customFormat="false" ht="15" hidden="false" customHeight="false" outlineLevel="0" collapsed="false">
      <c r="A19" s="10"/>
      <c r="B19" s="10"/>
      <c r="C19" s="12"/>
      <c r="D19" s="10"/>
      <c r="E19" s="10"/>
      <c r="F19" s="10"/>
      <c r="G19" s="14" t="str">
        <f aca="false">IF(OR(C19="",F19=""),"",C19+IF(F19="紧急",0,IF(F19="优先",3,14)))</f>
        <v/>
      </c>
      <c r="H19" s="10"/>
      <c r="I19" s="10"/>
      <c r="J19" s="11"/>
      <c r="K19" s="12"/>
      <c r="L19" s="12"/>
      <c r="M19" s="12"/>
      <c r="N19" s="10"/>
      <c r="O19" s="10"/>
      <c r="P19" s="11"/>
      <c r="Q19" s="10"/>
    </row>
    <row r="20" customFormat="false" ht="15" hidden="false" customHeight="false" outlineLevel="0" collapsed="false">
      <c r="A20" s="10"/>
      <c r="B20" s="10"/>
      <c r="C20" s="12"/>
      <c r="D20" s="10"/>
      <c r="E20" s="10"/>
      <c r="F20" s="10"/>
      <c r="G20" s="14" t="str">
        <f aca="false">IF(OR(C20="",F20=""),"",C20+IF(F20="紧急",0,IF(F20="优先",3,14)))</f>
        <v/>
      </c>
      <c r="H20" s="10"/>
      <c r="I20" s="10"/>
      <c r="J20" s="11"/>
      <c r="K20" s="12"/>
      <c r="L20" s="12"/>
      <c r="M20" s="12"/>
      <c r="N20" s="10"/>
      <c r="O20" s="10"/>
      <c r="P20" s="11"/>
      <c r="Q20" s="10"/>
    </row>
    <row r="21" customFormat="false" ht="15" hidden="false" customHeight="false" outlineLevel="0" collapsed="false">
      <c r="A21" s="10"/>
      <c r="B21" s="10"/>
      <c r="C21" s="12"/>
      <c r="D21" s="10"/>
      <c r="E21" s="10"/>
      <c r="F21" s="10"/>
      <c r="G21" s="14" t="str">
        <f aca="false">IF(OR(C21="",F21=""),"",C21+IF(F21="紧急",0,IF(F21="优先",3,14)))</f>
        <v/>
      </c>
      <c r="H21" s="10"/>
      <c r="I21" s="10"/>
      <c r="J21" s="11"/>
      <c r="K21" s="12"/>
      <c r="L21" s="12"/>
      <c r="M21" s="12"/>
      <c r="N21" s="10"/>
      <c r="O21" s="10"/>
      <c r="P21" s="11"/>
      <c r="Q21" s="10"/>
    </row>
    <row r="22" customFormat="false" ht="15" hidden="false" customHeight="false" outlineLevel="0" collapsed="false">
      <c r="A22" s="10"/>
      <c r="B22" s="10"/>
      <c r="C22" s="12"/>
      <c r="D22" s="10"/>
      <c r="E22" s="10"/>
      <c r="F22" s="10"/>
      <c r="G22" s="14" t="str">
        <f aca="false">IF(OR(C22="",F22=""),"",C22+IF(F22="紧急",0,IF(F22="优先",3,14)))</f>
        <v/>
      </c>
      <c r="H22" s="10"/>
      <c r="I22" s="10"/>
      <c r="J22" s="11"/>
      <c r="K22" s="12"/>
      <c r="L22" s="12"/>
      <c r="M22" s="12"/>
      <c r="N22" s="10"/>
      <c r="O22" s="10"/>
      <c r="P22" s="11"/>
      <c r="Q22" s="10"/>
    </row>
    <row r="23" customFormat="false" ht="15" hidden="false" customHeight="false" outlineLevel="0" collapsed="false">
      <c r="A23" s="10"/>
      <c r="B23" s="10"/>
      <c r="C23" s="12"/>
      <c r="D23" s="10"/>
      <c r="E23" s="10"/>
      <c r="F23" s="10"/>
      <c r="G23" s="14" t="str">
        <f aca="false">IF(OR(C23="",F23=""),"",C23+IF(F23="紧急",0,IF(F23="优先",3,14)))</f>
        <v/>
      </c>
      <c r="H23" s="10"/>
      <c r="I23" s="10"/>
      <c r="J23" s="11"/>
      <c r="K23" s="12"/>
      <c r="L23" s="12"/>
      <c r="M23" s="12"/>
      <c r="N23" s="10"/>
      <c r="O23" s="10"/>
      <c r="P23" s="11"/>
      <c r="Q23" s="10"/>
    </row>
    <row r="24" customFormat="false" ht="15" hidden="false" customHeight="false" outlineLevel="0" collapsed="false">
      <c r="A24" s="10"/>
      <c r="B24" s="10"/>
      <c r="C24" s="12"/>
      <c r="D24" s="10"/>
      <c r="E24" s="10"/>
      <c r="F24" s="10"/>
      <c r="G24" s="14" t="str">
        <f aca="false">IF(OR(C24="",F24=""),"",C24+IF(F24="紧急",0,IF(F24="优先",3,14)))</f>
        <v/>
      </c>
      <c r="H24" s="10"/>
      <c r="I24" s="10"/>
      <c r="J24" s="11"/>
      <c r="K24" s="12"/>
      <c r="L24" s="12"/>
      <c r="M24" s="12"/>
      <c r="N24" s="10"/>
      <c r="O24" s="10"/>
      <c r="P24" s="11"/>
      <c r="Q24" s="10"/>
    </row>
    <row r="25" customFormat="false" ht="15" hidden="false" customHeight="false" outlineLevel="0" collapsed="false">
      <c r="A25" s="10"/>
      <c r="B25" s="10"/>
      <c r="C25" s="12"/>
      <c r="D25" s="10"/>
      <c r="E25" s="10"/>
      <c r="F25" s="10"/>
      <c r="G25" s="14" t="str">
        <f aca="false">IF(OR(C25="",F25=""),"",C25+IF(F25="紧急",0,IF(F25="优先",3,14)))</f>
        <v/>
      </c>
      <c r="H25" s="10"/>
      <c r="I25" s="10"/>
      <c r="J25" s="11"/>
      <c r="K25" s="12"/>
      <c r="L25" s="12"/>
      <c r="M25" s="12"/>
      <c r="N25" s="10"/>
      <c r="O25" s="10"/>
      <c r="P25" s="11"/>
      <c r="Q25" s="10"/>
    </row>
    <row r="26" customFormat="false" ht="15" hidden="false" customHeight="false" outlineLevel="0" collapsed="false">
      <c r="A26" s="10"/>
      <c r="B26" s="10"/>
      <c r="C26" s="12"/>
      <c r="D26" s="10"/>
      <c r="E26" s="10"/>
      <c r="F26" s="10"/>
      <c r="G26" s="14" t="str">
        <f aca="false">IF(OR(C26="",F26=""),"",C26+IF(F26="紧急",0,IF(F26="优先",3,14)))</f>
        <v/>
      </c>
      <c r="H26" s="10"/>
      <c r="I26" s="10"/>
      <c r="J26" s="11"/>
      <c r="K26" s="12"/>
      <c r="L26" s="12"/>
      <c r="M26" s="12"/>
      <c r="N26" s="10"/>
      <c r="O26" s="10"/>
      <c r="P26" s="11"/>
      <c r="Q26" s="10"/>
    </row>
    <row r="27" customFormat="false" ht="15" hidden="false" customHeight="false" outlineLevel="0" collapsed="false">
      <c r="A27" s="10"/>
      <c r="B27" s="10"/>
      <c r="C27" s="12"/>
      <c r="D27" s="10"/>
      <c r="E27" s="10"/>
      <c r="F27" s="10"/>
      <c r="G27" s="14" t="str">
        <f aca="false">IF(OR(C27="",F27=""),"",C27+IF(F27="紧急",0,IF(F27="优先",3,14)))</f>
        <v/>
      </c>
      <c r="H27" s="10"/>
      <c r="I27" s="10"/>
      <c r="J27" s="11"/>
      <c r="K27" s="12"/>
      <c r="L27" s="12"/>
      <c r="M27" s="12"/>
      <c r="N27" s="10"/>
      <c r="O27" s="10"/>
      <c r="P27" s="11"/>
      <c r="Q27" s="10"/>
    </row>
    <row r="28" customFormat="false" ht="15" hidden="false" customHeight="false" outlineLevel="0" collapsed="false">
      <c r="A28" s="10"/>
      <c r="B28" s="10"/>
      <c r="C28" s="12"/>
      <c r="D28" s="10"/>
      <c r="E28" s="10"/>
      <c r="F28" s="10"/>
      <c r="G28" s="14" t="str">
        <f aca="false">IF(OR(C28="",F28=""),"",C28+IF(F28="紧急",0,IF(F28="优先",3,14)))</f>
        <v/>
      </c>
      <c r="H28" s="10"/>
      <c r="I28" s="10"/>
      <c r="J28" s="11"/>
      <c r="K28" s="12"/>
      <c r="L28" s="12"/>
      <c r="M28" s="12"/>
      <c r="N28" s="10"/>
      <c r="O28" s="10"/>
      <c r="P28" s="11"/>
      <c r="Q28" s="10"/>
    </row>
    <row r="29" customFormat="false" ht="15" hidden="false" customHeight="false" outlineLevel="0" collapsed="false">
      <c r="A29" s="10"/>
      <c r="B29" s="10"/>
      <c r="C29" s="12"/>
      <c r="D29" s="10"/>
      <c r="E29" s="10"/>
      <c r="F29" s="10"/>
      <c r="G29" s="14" t="str">
        <f aca="false">IF(OR(C29="",F29=""),"",C29+IF(F29="紧急",0,IF(F29="优先",3,14)))</f>
        <v/>
      </c>
      <c r="H29" s="10"/>
      <c r="I29" s="10"/>
      <c r="J29" s="11"/>
      <c r="K29" s="12"/>
      <c r="L29" s="12"/>
      <c r="M29" s="12"/>
      <c r="N29" s="10"/>
      <c r="O29" s="10"/>
      <c r="P29" s="11"/>
      <c r="Q29" s="10"/>
    </row>
    <row r="30" customFormat="false" ht="15" hidden="false" customHeight="false" outlineLevel="0" collapsed="false">
      <c r="A30" s="10"/>
      <c r="B30" s="10"/>
      <c r="C30" s="12"/>
      <c r="D30" s="10"/>
      <c r="E30" s="10"/>
      <c r="F30" s="10"/>
      <c r="G30" s="14" t="str">
        <f aca="false">IF(OR(C30="",F30=""),"",C30+IF(F30="紧急",0,IF(F30="优先",3,14)))</f>
        <v/>
      </c>
      <c r="H30" s="10"/>
      <c r="I30" s="10"/>
      <c r="J30" s="11"/>
      <c r="K30" s="12"/>
      <c r="L30" s="12"/>
      <c r="M30" s="12"/>
      <c r="N30" s="10"/>
      <c r="O30" s="10"/>
      <c r="P30" s="11"/>
      <c r="Q30" s="10"/>
    </row>
    <row r="31" customFormat="false" ht="15" hidden="false" customHeight="false" outlineLevel="0" collapsed="false">
      <c r="A31" s="10"/>
      <c r="B31" s="10"/>
      <c r="C31" s="12"/>
      <c r="D31" s="10"/>
      <c r="E31" s="10"/>
      <c r="F31" s="10"/>
      <c r="G31" s="14" t="str">
        <f aca="false">IF(OR(C31="",F31=""),"",C31+IF(F31="紧急",0,IF(F31="优先",3,14)))</f>
        <v/>
      </c>
      <c r="H31" s="10"/>
      <c r="I31" s="10"/>
      <c r="J31" s="11"/>
      <c r="K31" s="12"/>
      <c r="L31" s="12"/>
      <c r="M31" s="12"/>
      <c r="N31" s="10"/>
      <c r="O31" s="10"/>
      <c r="P31" s="11"/>
      <c r="Q31" s="10"/>
    </row>
    <row r="32" customFormat="false" ht="15" hidden="false" customHeight="false" outlineLevel="0" collapsed="false">
      <c r="A32" s="10"/>
      <c r="B32" s="10"/>
      <c r="C32" s="12"/>
      <c r="D32" s="10"/>
      <c r="E32" s="10"/>
      <c r="F32" s="10"/>
      <c r="G32" s="14" t="str">
        <f aca="false">IF(OR(C32="",F32=""),"",C32+IF(F32="紧急",0,IF(F32="优先",3,14)))</f>
        <v/>
      </c>
      <c r="H32" s="10"/>
      <c r="I32" s="10"/>
      <c r="J32" s="11"/>
      <c r="K32" s="12"/>
      <c r="L32" s="12"/>
      <c r="M32" s="12"/>
      <c r="N32" s="10"/>
      <c r="O32" s="10"/>
      <c r="P32" s="11"/>
      <c r="Q32" s="10"/>
    </row>
    <row r="33" customFormat="false" ht="15" hidden="false" customHeight="false" outlineLevel="0" collapsed="false">
      <c r="A33" s="10"/>
      <c r="B33" s="10"/>
      <c r="C33" s="12"/>
      <c r="D33" s="10"/>
      <c r="E33" s="10"/>
      <c r="F33" s="10"/>
      <c r="G33" s="14" t="str">
        <f aca="false">IF(OR(C33="",F33=""),"",C33+IF(F33="紧急",0,IF(F33="优先",3,14)))</f>
        <v/>
      </c>
      <c r="H33" s="10"/>
      <c r="I33" s="10"/>
      <c r="J33" s="11"/>
      <c r="K33" s="12"/>
      <c r="L33" s="12"/>
      <c r="M33" s="12"/>
      <c r="N33" s="10"/>
      <c r="O33" s="10"/>
      <c r="P33" s="11"/>
      <c r="Q33" s="10"/>
    </row>
    <row r="34" customFormat="false" ht="15" hidden="false" customHeight="false" outlineLevel="0" collapsed="false">
      <c r="A34" s="10"/>
      <c r="B34" s="10"/>
      <c r="C34" s="12"/>
      <c r="D34" s="10"/>
      <c r="E34" s="10"/>
      <c r="F34" s="10"/>
      <c r="G34" s="14" t="str">
        <f aca="false">IF(OR(C34="",F34=""),"",C34+IF(F34="紧急",0,IF(F34="优先",3,14)))</f>
        <v/>
      </c>
      <c r="H34" s="10"/>
      <c r="I34" s="10"/>
      <c r="J34" s="11"/>
      <c r="K34" s="12"/>
      <c r="L34" s="12"/>
      <c r="M34" s="12"/>
      <c r="N34" s="10"/>
      <c r="O34" s="10"/>
      <c r="P34" s="11"/>
      <c r="Q34" s="10"/>
    </row>
    <row r="35" customFormat="false" ht="15" hidden="false" customHeight="false" outlineLevel="0" collapsed="false">
      <c r="A35" s="10"/>
      <c r="B35" s="10"/>
      <c r="C35" s="12"/>
      <c r="D35" s="10"/>
      <c r="E35" s="10"/>
      <c r="F35" s="10"/>
      <c r="G35" s="14" t="str">
        <f aca="false">IF(OR(C35="",F35=""),"",C35+IF(F35="紧急",0,IF(F35="优先",3,14)))</f>
        <v/>
      </c>
      <c r="H35" s="10"/>
      <c r="I35" s="10"/>
      <c r="J35" s="11"/>
      <c r="K35" s="12"/>
      <c r="L35" s="12"/>
      <c r="M35" s="12"/>
      <c r="N35" s="10"/>
      <c r="O35" s="10"/>
      <c r="P35" s="11"/>
      <c r="Q35" s="10"/>
    </row>
    <row r="36" customFormat="false" ht="15" hidden="false" customHeight="false" outlineLevel="0" collapsed="false">
      <c r="A36" s="10"/>
      <c r="B36" s="10"/>
      <c r="C36" s="12"/>
      <c r="D36" s="10"/>
      <c r="E36" s="10"/>
      <c r="F36" s="10"/>
      <c r="G36" s="14" t="str">
        <f aca="false">IF(OR(C36="",F36=""),"",C36+IF(F36="紧急",0,IF(F36="优先",3,14)))</f>
        <v/>
      </c>
      <c r="H36" s="10"/>
      <c r="I36" s="10"/>
      <c r="J36" s="11"/>
      <c r="K36" s="12"/>
      <c r="L36" s="12"/>
      <c r="M36" s="12"/>
      <c r="N36" s="10"/>
      <c r="O36" s="10"/>
      <c r="P36" s="11"/>
      <c r="Q36" s="10"/>
    </row>
    <row r="37" customFormat="false" ht="15" hidden="false" customHeight="false" outlineLevel="0" collapsed="false">
      <c r="A37" s="10"/>
      <c r="B37" s="10"/>
      <c r="C37" s="12"/>
      <c r="D37" s="10"/>
      <c r="E37" s="10"/>
      <c r="F37" s="10"/>
      <c r="G37" s="14" t="str">
        <f aca="false">IF(OR(C37="",F37=""),"",C37+IF(F37="紧急",0,IF(F37="优先",3,14)))</f>
        <v/>
      </c>
      <c r="H37" s="10"/>
      <c r="I37" s="10"/>
      <c r="J37" s="11"/>
      <c r="K37" s="12"/>
      <c r="L37" s="12"/>
      <c r="M37" s="12"/>
      <c r="N37" s="10"/>
      <c r="O37" s="10"/>
      <c r="P37" s="11"/>
      <c r="Q37" s="10"/>
    </row>
    <row r="38" customFormat="false" ht="15" hidden="false" customHeight="false" outlineLevel="0" collapsed="false">
      <c r="A38" s="10"/>
      <c r="B38" s="10"/>
      <c r="C38" s="12"/>
      <c r="D38" s="10"/>
      <c r="E38" s="10"/>
      <c r="F38" s="10"/>
      <c r="G38" s="14" t="str">
        <f aca="false">IF(OR(C38="",F38=""),"",C38+IF(F38="紧急",0,IF(F38="优先",3,14)))</f>
        <v/>
      </c>
      <c r="H38" s="10"/>
      <c r="I38" s="10"/>
      <c r="J38" s="11"/>
      <c r="K38" s="12"/>
      <c r="L38" s="12"/>
      <c r="M38" s="12"/>
      <c r="N38" s="10"/>
      <c r="O38" s="10"/>
      <c r="P38" s="11"/>
      <c r="Q38" s="10"/>
    </row>
    <row r="39" customFormat="false" ht="15" hidden="false" customHeight="false" outlineLevel="0" collapsed="false">
      <c r="A39" s="10"/>
      <c r="B39" s="10"/>
      <c r="C39" s="12"/>
      <c r="D39" s="10"/>
      <c r="E39" s="10"/>
      <c r="F39" s="10"/>
      <c r="G39" s="14" t="str">
        <f aca="false">IF(OR(C39="",F39=""),"",C39+IF(F39="紧急",0,IF(F39="优先",3,14)))</f>
        <v/>
      </c>
      <c r="H39" s="10"/>
      <c r="I39" s="10"/>
      <c r="J39" s="11"/>
      <c r="K39" s="12"/>
      <c r="L39" s="12"/>
      <c r="M39" s="12"/>
      <c r="N39" s="10"/>
      <c r="O39" s="10"/>
      <c r="P39" s="11"/>
      <c r="Q39" s="10"/>
    </row>
    <row r="40" customFormat="false" ht="15" hidden="false" customHeight="false" outlineLevel="0" collapsed="false">
      <c r="A40" s="10"/>
      <c r="B40" s="10"/>
      <c r="C40" s="12"/>
      <c r="D40" s="10"/>
      <c r="E40" s="10"/>
      <c r="F40" s="10"/>
      <c r="G40" s="14" t="str">
        <f aca="false">IF(OR(C40="",F40=""),"",C40+IF(F40="紧急",0,IF(F40="优先",3,14)))</f>
        <v/>
      </c>
      <c r="H40" s="10"/>
      <c r="I40" s="10"/>
      <c r="J40" s="11"/>
      <c r="K40" s="12"/>
      <c r="L40" s="12"/>
      <c r="M40" s="12"/>
      <c r="N40" s="10"/>
      <c r="O40" s="10"/>
      <c r="P40" s="11"/>
      <c r="Q40" s="10"/>
    </row>
    <row r="41" customFormat="false" ht="15" hidden="false" customHeight="false" outlineLevel="0" collapsed="false">
      <c r="A41" s="10"/>
      <c r="B41" s="10"/>
      <c r="C41" s="12"/>
      <c r="D41" s="10"/>
      <c r="E41" s="10"/>
      <c r="F41" s="10"/>
      <c r="G41" s="14" t="str">
        <f aca="false">IF(OR(C41="",F41=""),"",C41+IF(F41="紧急",0,IF(F41="优先",3,14)))</f>
        <v/>
      </c>
      <c r="H41" s="10"/>
      <c r="I41" s="10"/>
      <c r="J41" s="11"/>
      <c r="K41" s="12"/>
      <c r="L41" s="12"/>
      <c r="M41" s="12"/>
      <c r="N41" s="10"/>
      <c r="O41" s="10"/>
      <c r="P41" s="11"/>
      <c r="Q41" s="10"/>
    </row>
    <row r="42" customFormat="false" ht="15" hidden="false" customHeight="false" outlineLevel="0" collapsed="false">
      <c r="A42" s="10"/>
      <c r="B42" s="10"/>
      <c r="C42" s="12"/>
      <c r="D42" s="10"/>
      <c r="E42" s="10"/>
      <c r="F42" s="10"/>
      <c r="G42" s="14" t="str">
        <f aca="false">IF(OR(C42="",F42=""),"",C42+IF(F42="紧急",0,IF(F42="优先",3,14)))</f>
        <v/>
      </c>
      <c r="H42" s="10"/>
      <c r="I42" s="10"/>
      <c r="J42" s="11"/>
      <c r="K42" s="12"/>
      <c r="L42" s="12"/>
      <c r="M42" s="12"/>
      <c r="N42" s="10"/>
      <c r="O42" s="10"/>
      <c r="P42" s="11"/>
      <c r="Q42" s="10"/>
    </row>
    <row r="43" customFormat="false" ht="15" hidden="false" customHeight="false" outlineLevel="0" collapsed="false">
      <c r="A43" s="10"/>
      <c r="B43" s="10"/>
      <c r="C43" s="12"/>
      <c r="D43" s="10"/>
      <c r="E43" s="10"/>
      <c r="F43" s="10"/>
      <c r="G43" s="14" t="str">
        <f aca="false">IF(OR(C43="",F43=""),"",C43+IF(F43="紧急",0,IF(F43="优先",3,14)))</f>
        <v/>
      </c>
      <c r="H43" s="10"/>
      <c r="I43" s="10"/>
      <c r="J43" s="11"/>
      <c r="K43" s="12"/>
      <c r="L43" s="12"/>
      <c r="M43" s="12"/>
      <c r="N43" s="10"/>
      <c r="O43" s="10"/>
      <c r="P43" s="11"/>
      <c r="Q43" s="10"/>
    </row>
    <row r="44" customFormat="false" ht="15" hidden="false" customHeight="false" outlineLevel="0" collapsed="false">
      <c r="A44" s="10"/>
      <c r="B44" s="10"/>
      <c r="C44" s="12"/>
      <c r="D44" s="10"/>
      <c r="E44" s="10"/>
      <c r="F44" s="10"/>
      <c r="G44" s="14" t="str">
        <f aca="false">IF(OR(C44="",F44=""),"",C44+IF(F44="紧急",0,IF(F44="优先",3,14)))</f>
        <v/>
      </c>
      <c r="H44" s="10"/>
      <c r="I44" s="10"/>
      <c r="J44" s="11"/>
      <c r="K44" s="12"/>
      <c r="L44" s="12"/>
      <c r="M44" s="12"/>
      <c r="N44" s="10"/>
      <c r="O44" s="10"/>
      <c r="P44" s="11"/>
      <c r="Q44" s="10"/>
    </row>
    <row r="45" customFormat="false" ht="15" hidden="false" customHeight="false" outlineLevel="0" collapsed="false">
      <c r="A45" s="10"/>
      <c r="B45" s="10"/>
      <c r="C45" s="12"/>
      <c r="D45" s="10"/>
      <c r="E45" s="10"/>
      <c r="F45" s="10"/>
      <c r="G45" s="14" t="str">
        <f aca="false">IF(OR(C45="",F45=""),"",C45+IF(F45="紧急",0,IF(F45="优先",3,14)))</f>
        <v/>
      </c>
      <c r="H45" s="10"/>
      <c r="I45" s="10"/>
      <c r="J45" s="11"/>
      <c r="K45" s="12"/>
      <c r="L45" s="12"/>
      <c r="M45" s="12"/>
      <c r="N45" s="10"/>
      <c r="O45" s="10"/>
      <c r="P45" s="11"/>
      <c r="Q45" s="10"/>
    </row>
    <row r="46" customFormat="false" ht="15" hidden="false" customHeight="false" outlineLevel="0" collapsed="false">
      <c r="A46" s="10"/>
      <c r="B46" s="10"/>
      <c r="C46" s="12"/>
      <c r="D46" s="10"/>
      <c r="E46" s="10"/>
      <c r="F46" s="10"/>
      <c r="G46" s="14" t="str">
        <f aca="false">IF(OR(C46="",F46=""),"",C46+IF(F46="紧急",0,IF(F46="优先",3,14)))</f>
        <v/>
      </c>
      <c r="H46" s="10"/>
      <c r="I46" s="10"/>
      <c r="J46" s="11"/>
      <c r="K46" s="12"/>
      <c r="L46" s="12"/>
      <c r="M46" s="12"/>
      <c r="N46" s="10"/>
      <c r="O46" s="10"/>
      <c r="P46" s="11"/>
      <c r="Q46" s="10"/>
    </row>
    <row r="47" customFormat="false" ht="15" hidden="false" customHeight="false" outlineLevel="0" collapsed="false">
      <c r="A47" s="10"/>
      <c r="B47" s="10"/>
      <c r="C47" s="12"/>
      <c r="D47" s="10"/>
      <c r="E47" s="10"/>
      <c r="F47" s="10"/>
      <c r="G47" s="14" t="str">
        <f aca="false">IF(OR(C47="",F47=""),"",C47+IF(F47="紧急",0,IF(F47="优先",3,14)))</f>
        <v/>
      </c>
      <c r="H47" s="10"/>
      <c r="I47" s="10"/>
      <c r="J47" s="11"/>
      <c r="K47" s="12"/>
      <c r="L47" s="12"/>
      <c r="M47" s="12"/>
      <c r="N47" s="10"/>
      <c r="O47" s="10"/>
      <c r="P47" s="11"/>
      <c r="Q47" s="10"/>
    </row>
    <row r="48" customFormat="false" ht="15" hidden="false" customHeight="false" outlineLevel="0" collapsed="false">
      <c r="A48" s="10"/>
      <c r="B48" s="10"/>
      <c r="C48" s="12"/>
      <c r="D48" s="10"/>
      <c r="E48" s="10"/>
      <c r="F48" s="10"/>
      <c r="G48" s="14" t="str">
        <f aca="false">IF(OR(C48="",F48=""),"",C48+IF(F48="紧急",0,IF(F48="优先",3,14)))</f>
        <v/>
      </c>
      <c r="H48" s="10"/>
      <c r="I48" s="10"/>
      <c r="J48" s="11"/>
      <c r="K48" s="12"/>
      <c r="L48" s="12"/>
      <c r="M48" s="12"/>
      <c r="N48" s="10"/>
      <c r="O48" s="10"/>
      <c r="P48" s="11"/>
      <c r="Q48" s="10"/>
    </row>
    <row r="49" customFormat="false" ht="15" hidden="false" customHeight="false" outlineLevel="0" collapsed="false">
      <c r="A49" s="10"/>
      <c r="B49" s="10"/>
      <c r="C49" s="12"/>
      <c r="D49" s="10"/>
      <c r="E49" s="10"/>
      <c r="F49" s="10"/>
      <c r="G49" s="14" t="str">
        <f aca="false">IF(OR(C49="",F49=""),"",C49+IF(F49="紧急",0,IF(F49="优先",3,14)))</f>
        <v/>
      </c>
      <c r="H49" s="10"/>
      <c r="I49" s="10"/>
      <c r="J49" s="11"/>
      <c r="K49" s="12"/>
      <c r="L49" s="12"/>
      <c r="M49" s="12"/>
      <c r="N49" s="10"/>
      <c r="O49" s="10"/>
      <c r="P49" s="11"/>
      <c r="Q49" s="10"/>
    </row>
    <row r="50" customFormat="false" ht="15" hidden="false" customHeight="false" outlineLevel="0" collapsed="false">
      <c r="A50" s="10"/>
      <c r="B50" s="10"/>
      <c r="C50" s="12"/>
      <c r="D50" s="10"/>
      <c r="E50" s="10"/>
      <c r="F50" s="10"/>
      <c r="G50" s="14" t="str">
        <f aca="false">IF(OR(C50="",F50=""),"",C50+IF(F50="紧急",0,IF(F50="优先",3,14)))</f>
        <v/>
      </c>
      <c r="H50" s="10"/>
      <c r="I50" s="10"/>
      <c r="J50" s="11"/>
      <c r="K50" s="12"/>
      <c r="L50" s="12"/>
      <c r="M50" s="12"/>
      <c r="N50" s="10"/>
      <c r="O50" s="10"/>
      <c r="P50" s="11"/>
      <c r="Q50" s="10"/>
    </row>
    <row r="51" customFormat="false" ht="15" hidden="false" customHeight="false" outlineLevel="0" collapsed="false">
      <c r="A51" s="10"/>
      <c r="B51" s="10"/>
      <c r="C51" s="12"/>
      <c r="D51" s="10"/>
      <c r="E51" s="10"/>
      <c r="F51" s="10"/>
      <c r="G51" s="14" t="str">
        <f aca="false">IF(OR(C51="",F51=""),"",C51+IF(F51="紧急",0,IF(F51="优先",3,14)))</f>
        <v/>
      </c>
      <c r="H51" s="10"/>
      <c r="I51" s="10"/>
      <c r="J51" s="11"/>
      <c r="K51" s="12"/>
      <c r="L51" s="12"/>
      <c r="M51" s="12"/>
      <c r="N51" s="10"/>
      <c r="O51" s="10"/>
      <c r="P51" s="11"/>
      <c r="Q51" s="10"/>
    </row>
    <row r="52" customFormat="false" ht="15" hidden="false" customHeight="false" outlineLevel="0" collapsed="false">
      <c r="A52" s="10"/>
      <c r="B52" s="10"/>
      <c r="C52" s="12"/>
      <c r="D52" s="10"/>
      <c r="E52" s="10"/>
      <c r="F52" s="10"/>
      <c r="G52" s="14" t="str">
        <f aca="false">IF(OR(C52="",F52=""),"",C52+IF(F52="紧急",0,IF(F52="优先",3,14)))</f>
        <v/>
      </c>
      <c r="H52" s="10"/>
      <c r="I52" s="10"/>
      <c r="J52" s="11"/>
      <c r="K52" s="12"/>
      <c r="L52" s="12"/>
      <c r="M52" s="12"/>
      <c r="N52" s="10"/>
      <c r="O52" s="10"/>
      <c r="P52" s="11"/>
      <c r="Q52" s="10"/>
    </row>
    <row r="53" customFormat="false" ht="15" hidden="false" customHeight="false" outlineLevel="0" collapsed="false">
      <c r="A53" s="10"/>
      <c r="B53" s="10"/>
      <c r="C53" s="12"/>
      <c r="D53" s="10"/>
      <c r="E53" s="10"/>
      <c r="F53" s="10"/>
      <c r="G53" s="14" t="str">
        <f aca="false">IF(OR(C53="",F53=""),"",C53+IF(F53="紧急",0,IF(F53="优先",3,14)))</f>
        <v/>
      </c>
      <c r="H53" s="10"/>
      <c r="I53" s="10"/>
      <c r="J53" s="11"/>
      <c r="K53" s="12"/>
      <c r="L53" s="12"/>
      <c r="M53" s="12"/>
      <c r="N53" s="10"/>
      <c r="O53" s="10"/>
      <c r="P53" s="11"/>
      <c r="Q53" s="10"/>
    </row>
    <row r="54" customFormat="false" ht="15" hidden="false" customHeight="false" outlineLevel="0" collapsed="false">
      <c r="A54" s="10"/>
      <c r="B54" s="10"/>
      <c r="C54" s="12"/>
      <c r="D54" s="10"/>
      <c r="E54" s="10"/>
      <c r="F54" s="10"/>
      <c r="G54" s="14" t="str">
        <f aca="false">IF(OR(C54="",F54=""),"",C54+IF(F54="紧急",0,IF(F54="优先",3,14)))</f>
        <v/>
      </c>
      <c r="H54" s="10"/>
      <c r="I54" s="10"/>
      <c r="J54" s="11"/>
      <c r="K54" s="12"/>
      <c r="L54" s="12"/>
      <c r="M54" s="12"/>
      <c r="N54" s="10"/>
      <c r="O54" s="10"/>
      <c r="P54" s="11"/>
      <c r="Q54" s="10"/>
    </row>
    <row r="55" customFormat="false" ht="15" hidden="false" customHeight="false" outlineLevel="0" collapsed="false">
      <c r="A55" s="10"/>
      <c r="B55" s="10"/>
      <c r="C55" s="12"/>
      <c r="D55" s="10"/>
      <c r="E55" s="10"/>
      <c r="F55" s="10"/>
      <c r="G55" s="14" t="str">
        <f aca="false">IF(OR(C55="",F55=""),"",C55+IF(F55="紧急",0,IF(F55="优先",3,14)))</f>
        <v/>
      </c>
      <c r="H55" s="10"/>
      <c r="I55" s="10"/>
      <c r="J55" s="11"/>
      <c r="K55" s="12"/>
      <c r="L55" s="12"/>
      <c r="M55" s="12"/>
      <c r="N55" s="10"/>
      <c r="O55" s="10"/>
      <c r="P55" s="11"/>
      <c r="Q55" s="10"/>
    </row>
    <row r="56" customFormat="false" ht="15" hidden="false" customHeight="false" outlineLevel="0" collapsed="false">
      <c r="A56" s="10"/>
      <c r="B56" s="10"/>
      <c r="C56" s="12"/>
      <c r="D56" s="10"/>
      <c r="E56" s="10"/>
      <c r="F56" s="10"/>
      <c r="G56" s="14" t="str">
        <f aca="false">IF(OR(C56="",F56=""),"",C56+IF(F56="紧急",0,IF(F56="优先",3,14)))</f>
        <v/>
      </c>
      <c r="H56" s="10"/>
      <c r="I56" s="10"/>
      <c r="J56" s="11"/>
      <c r="K56" s="12"/>
      <c r="L56" s="12"/>
      <c r="M56" s="12"/>
      <c r="N56" s="10"/>
      <c r="O56" s="10"/>
      <c r="P56" s="11"/>
      <c r="Q56" s="10"/>
    </row>
    <row r="57" customFormat="false" ht="15" hidden="false" customHeight="false" outlineLevel="0" collapsed="false">
      <c r="A57" s="10"/>
      <c r="B57" s="10"/>
      <c r="C57" s="12"/>
      <c r="D57" s="10"/>
      <c r="E57" s="10"/>
      <c r="F57" s="10"/>
      <c r="G57" s="14" t="str">
        <f aca="false">IF(OR(C57="",F57=""),"",C57+IF(F57="紧急",0,IF(F57="优先",3,14)))</f>
        <v/>
      </c>
      <c r="H57" s="10"/>
      <c r="I57" s="10"/>
      <c r="J57" s="11"/>
      <c r="K57" s="12"/>
      <c r="L57" s="12"/>
      <c r="M57" s="12"/>
      <c r="N57" s="10"/>
      <c r="O57" s="10"/>
      <c r="P57" s="11"/>
      <c r="Q57" s="10"/>
    </row>
    <row r="58" customFormat="false" ht="15" hidden="false" customHeight="false" outlineLevel="0" collapsed="false">
      <c r="A58" s="10"/>
      <c r="B58" s="10"/>
      <c r="C58" s="12"/>
      <c r="D58" s="10"/>
      <c r="E58" s="10"/>
      <c r="F58" s="10"/>
      <c r="G58" s="14" t="str">
        <f aca="false">IF(OR(C58="",F58=""),"",C58+IF(F58="紧急",0,IF(F58="优先",3,14)))</f>
        <v/>
      </c>
      <c r="H58" s="10"/>
      <c r="I58" s="10"/>
      <c r="J58" s="11"/>
      <c r="K58" s="12"/>
      <c r="L58" s="12"/>
      <c r="M58" s="12"/>
      <c r="N58" s="10"/>
      <c r="O58" s="10"/>
      <c r="P58" s="11"/>
      <c r="Q58" s="10"/>
    </row>
    <row r="59" customFormat="false" ht="15" hidden="false" customHeight="false" outlineLevel="0" collapsed="false">
      <c r="A59" s="10"/>
      <c r="B59" s="10"/>
      <c r="C59" s="12"/>
      <c r="D59" s="10"/>
      <c r="E59" s="10"/>
      <c r="F59" s="10"/>
      <c r="G59" s="14" t="str">
        <f aca="false">IF(OR(C59="",F59=""),"",C59+IF(F59="紧急",0,IF(F59="优先",3,14)))</f>
        <v/>
      </c>
      <c r="H59" s="10"/>
      <c r="I59" s="10"/>
      <c r="J59" s="11"/>
      <c r="K59" s="12"/>
      <c r="L59" s="12"/>
      <c r="M59" s="12"/>
      <c r="N59" s="10"/>
      <c r="O59" s="10"/>
      <c r="P59" s="11"/>
      <c r="Q59" s="10"/>
    </row>
    <row r="60" customFormat="false" ht="15" hidden="false" customHeight="false" outlineLevel="0" collapsed="false">
      <c r="A60" s="10"/>
      <c r="B60" s="10"/>
      <c r="C60" s="12"/>
      <c r="D60" s="10"/>
      <c r="E60" s="10"/>
      <c r="F60" s="10"/>
      <c r="G60" s="14" t="str">
        <f aca="false">IF(OR(C60="",F60=""),"",C60+IF(F60="紧急",0,IF(F60="优先",3,14)))</f>
        <v/>
      </c>
      <c r="H60" s="10"/>
      <c r="I60" s="10"/>
      <c r="J60" s="11"/>
      <c r="K60" s="12"/>
      <c r="L60" s="12"/>
      <c r="M60" s="12"/>
      <c r="N60" s="10"/>
      <c r="O60" s="10"/>
      <c r="P60" s="11"/>
      <c r="Q60" s="10"/>
    </row>
    <row r="61" customFormat="false" ht="15" hidden="false" customHeight="false" outlineLevel="0" collapsed="false">
      <c r="A61" s="10"/>
      <c r="B61" s="10"/>
      <c r="C61" s="12"/>
      <c r="D61" s="10"/>
      <c r="E61" s="10"/>
      <c r="F61" s="10"/>
      <c r="G61" s="14" t="str">
        <f aca="false">IF(OR(C61="",F61=""),"",C61+IF(F61="紧急",0,IF(F61="优先",3,14)))</f>
        <v/>
      </c>
      <c r="H61" s="10"/>
      <c r="I61" s="10"/>
      <c r="J61" s="11"/>
      <c r="K61" s="12"/>
      <c r="L61" s="12"/>
      <c r="M61" s="12"/>
      <c r="N61" s="10"/>
      <c r="O61" s="10"/>
      <c r="P61" s="11"/>
      <c r="Q61" s="10"/>
    </row>
    <row r="62" customFormat="false" ht="15" hidden="false" customHeight="false" outlineLevel="0" collapsed="false">
      <c r="A62" s="10"/>
      <c r="B62" s="10"/>
      <c r="C62" s="12"/>
      <c r="D62" s="10"/>
      <c r="E62" s="10"/>
      <c r="F62" s="10"/>
      <c r="G62" s="14" t="str">
        <f aca="false">IF(OR(C62="",F62=""),"",C62+IF(F62="紧急",0,IF(F62="优先",3,14)))</f>
        <v/>
      </c>
      <c r="H62" s="10"/>
      <c r="I62" s="10"/>
      <c r="J62" s="11"/>
      <c r="K62" s="12"/>
      <c r="L62" s="12"/>
      <c r="M62" s="12"/>
      <c r="N62" s="10"/>
      <c r="O62" s="10"/>
      <c r="P62" s="11"/>
      <c r="Q62" s="10"/>
    </row>
    <row r="63" customFormat="false" ht="15" hidden="false" customHeight="false" outlineLevel="0" collapsed="false">
      <c r="A63" s="10"/>
      <c r="B63" s="10"/>
      <c r="C63" s="12"/>
      <c r="D63" s="10"/>
      <c r="E63" s="10"/>
      <c r="F63" s="10"/>
      <c r="G63" s="14" t="str">
        <f aca="false">IF(OR(C63="",F63=""),"",C63+IF(F63="紧急",0,IF(F63="优先",3,14)))</f>
        <v/>
      </c>
      <c r="H63" s="10"/>
      <c r="I63" s="10"/>
      <c r="J63" s="11"/>
      <c r="K63" s="12"/>
      <c r="L63" s="12"/>
      <c r="M63" s="12"/>
      <c r="N63" s="10"/>
      <c r="O63" s="10"/>
      <c r="P63" s="11"/>
      <c r="Q63" s="10"/>
    </row>
    <row r="64" customFormat="false" ht="15" hidden="false" customHeight="false" outlineLevel="0" collapsed="false">
      <c r="A64" s="10"/>
      <c r="B64" s="10"/>
      <c r="C64" s="12"/>
      <c r="D64" s="10"/>
      <c r="E64" s="10"/>
      <c r="F64" s="10"/>
      <c r="G64" s="14" t="str">
        <f aca="false">IF(OR(C64="",F64=""),"",C64+IF(F64="紧急",0,IF(F64="优先",3,14)))</f>
        <v/>
      </c>
      <c r="H64" s="10"/>
      <c r="I64" s="10"/>
      <c r="J64" s="11"/>
      <c r="K64" s="12"/>
      <c r="L64" s="12"/>
      <c r="M64" s="12"/>
      <c r="N64" s="10"/>
      <c r="O64" s="10"/>
      <c r="P64" s="11"/>
      <c r="Q64" s="10"/>
    </row>
    <row r="65" customFormat="false" ht="15" hidden="false" customHeight="false" outlineLevel="0" collapsed="false">
      <c r="A65" s="10"/>
      <c r="B65" s="10"/>
      <c r="C65" s="12"/>
      <c r="D65" s="10"/>
      <c r="E65" s="10"/>
      <c r="F65" s="10"/>
      <c r="G65" s="14" t="str">
        <f aca="false">IF(OR(C65="",F65=""),"",C65+IF(F65="紧急",0,IF(F65="优先",3,14)))</f>
        <v/>
      </c>
      <c r="H65" s="10"/>
      <c r="I65" s="10"/>
      <c r="J65" s="11"/>
      <c r="K65" s="12"/>
      <c r="L65" s="12"/>
      <c r="M65" s="12"/>
      <c r="N65" s="10"/>
      <c r="O65" s="10"/>
      <c r="P65" s="11"/>
      <c r="Q65" s="10"/>
    </row>
    <row r="66" customFormat="false" ht="15" hidden="false" customHeight="false" outlineLevel="0" collapsed="false">
      <c r="A66" s="10"/>
      <c r="B66" s="10"/>
      <c r="C66" s="12"/>
      <c r="D66" s="10"/>
      <c r="E66" s="10"/>
      <c r="F66" s="10"/>
      <c r="G66" s="14" t="str">
        <f aca="false">IF(OR(C66="",F66=""),"",C66+IF(F66="紧急",0,IF(F66="优先",3,14)))</f>
        <v/>
      </c>
      <c r="H66" s="10"/>
      <c r="I66" s="10"/>
      <c r="J66" s="11"/>
      <c r="K66" s="12"/>
      <c r="L66" s="12"/>
      <c r="M66" s="12"/>
      <c r="N66" s="10"/>
      <c r="O66" s="10"/>
      <c r="P66" s="11"/>
      <c r="Q66" s="10"/>
    </row>
    <row r="67" customFormat="false" ht="15" hidden="false" customHeight="false" outlineLevel="0" collapsed="false">
      <c r="A67" s="10"/>
      <c r="B67" s="10"/>
      <c r="C67" s="12"/>
      <c r="D67" s="10"/>
      <c r="E67" s="10"/>
      <c r="F67" s="10"/>
      <c r="G67" s="14" t="str">
        <f aca="false">IF(OR(C67="",F67=""),"",C67+IF(F67="紧急",0,IF(F67="优先",3,14)))</f>
        <v/>
      </c>
      <c r="H67" s="10"/>
      <c r="I67" s="10"/>
      <c r="J67" s="11"/>
      <c r="K67" s="12"/>
      <c r="L67" s="12"/>
      <c r="M67" s="12"/>
      <c r="N67" s="10"/>
      <c r="O67" s="10"/>
      <c r="P67" s="11"/>
      <c r="Q67" s="10"/>
    </row>
    <row r="68" customFormat="false" ht="15" hidden="false" customHeight="false" outlineLevel="0" collapsed="false">
      <c r="A68" s="10"/>
      <c r="B68" s="10"/>
      <c r="C68" s="12"/>
      <c r="D68" s="10"/>
      <c r="E68" s="10"/>
      <c r="F68" s="10"/>
      <c r="G68" s="14" t="str">
        <f aca="false">IF(OR(C68="",F68=""),"",C68+IF(F68="紧急",0,IF(F68="优先",3,14)))</f>
        <v/>
      </c>
      <c r="H68" s="10"/>
      <c r="I68" s="10"/>
      <c r="J68" s="11"/>
      <c r="K68" s="12"/>
      <c r="L68" s="12"/>
      <c r="M68" s="12"/>
      <c r="N68" s="10"/>
      <c r="O68" s="10"/>
      <c r="P68" s="11"/>
      <c r="Q68" s="10"/>
    </row>
    <row r="69" customFormat="false" ht="15" hidden="false" customHeight="false" outlineLevel="0" collapsed="false">
      <c r="A69" s="10"/>
      <c r="B69" s="10"/>
      <c r="C69" s="12"/>
      <c r="D69" s="10"/>
      <c r="E69" s="10"/>
      <c r="F69" s="10"/>
      <c r="G69" s="14" t="str">
        <f aca="false">IF(OR(C69="",F69=""),"",C69+IF(F69="紧急",0,IF(F69="优先",3,14)))</f>
        <v/>
      </c>
      <c r="H69" s="10"/>
      <c r="I69" s="10"/>
      <c r="J69" s="11"/>
      <c r="K69" s="12"/>
      <c r="L69" s="12"/>
      <c r="M69" s="12"/>
      <c r="N69" s="10"/>
      <c r="O69" s="10"/>
      <c r="P69" s="11"/>
      <c r="Q69" s="10"/>
    </row>
    <row r="70" customFormat="false" ht="15" hidden="false" customHeight="false" outlineLevel="0" collapsed="false">
      <c r="A70" s="10"/>
      <c r="B70" s="10"/>
      <c r="C70" s="12"/>
      <c r="D70" s="10"/>
      <c r="E70" s="10"/>
      <c r="F70" s="10"/>
      <c r="G70" s="14" t="str">
        <f aca="false">IF(OR(C70="",F70=""),"",C70+IF(F70="紧急",0,IF(F70="优先",3,14)))</f>
        <v/>
      </c>
      <c r="H70" s="10"/>
      <c r="I70" s="10"/>
      <c r="J70" s="11"/>
      <c r="K70" s="12"/>
      <c r="L70" s="12"/>
      <c r="M70" s="12"/>
      <c r="N70" s="10"/>
      <c r="O70" s="10"/>
      <c r="P70" s="11"/>
      <c r="Q70" s="10"/>
    </row>
    <row r="71" customFormat="false" ht="15" hidden="false" customHeight="false" outlineLevel="0" collapsed="false">
      <c r="A71" s="10"/>
      <c r="B71" s="10"/>
      <c r="C71" s="12"/>
      <c r="D71" s="10"/>
      <c r="E71" s="10"/>
      <c r="F71" s="10"/>
      <c r="G71" s="14" t="str">
        <f aca="false">IF(OR(C71="",F71=""),"",C71+IF(F71="紧急",0,IF(F71="优先",3,14)))</f>
        <v/>
      </c>
      <c r="H71" s="10"/>
      <c r="I71" s="10"/>
      <c r="J71" s="11"/>
      <c r="K71" s="12"/>
      <c r="L71" s="12"/>
      <c r="M71" s="12"/>
      <c r="N71" s="10"/>
      <c r="O71" s="10"/>
      <c r="P71" s="11"/>
      <c r="Q71" s="10"/>
    </row>
    <row r="72" customFormat="false" ht="15" hidden="false" customHeight="false" outlineLevel="0" collapsed="false">
      <c r="A72" s="10"/>
      <c r="B72" s="10"/>
      <c r="C72" s="12"/>
      <c r="D72" s="10"/>
      <c r="E72" s="10"/>
      <c r="F72" s="10"/>
      <c r="G72" s="14" t="str">
        <f aca="false">IF(OR(C72="",F72=""),"",C72+IF(F72="紧急",0,IF(F72="优先",3,14)))</f>
        <v/>
      </c>
      <c r="H72" s="10"/>
      <c r="I72" s="10"/>
      <c r="J72" s="11"/>
      <c r="K72" s="12"/>
      <c r="L72" s="12"/>
      <c r="M72" s="12"/>
      <c r="N72" s="10"/>
      <c r="O72" s="10"/>
      <c r="P72" s="11"/>
      <c r="Q72" s="10"/>
    </row>
    <row r="73" customFormat="false" ht="15" hidden="false" customHeight="false" outlineLevel="0" collapsed="false">
      <c r="A73" s="10"/>
      <c r="B73" s="10"/>
      <c r="C73" s="12"/>
      <c r="D73" s="10"/>
      <c r="E73" s="10"/>
      <c r="F73" s="10"/>
      <c r="G73" s="14" t="str">
        <f aca="false">IF(OR(C73="",F73=""),"",C73+IF(F73="紧急",0,IF(F73="优先",3,14)))</f>
        <v/>
      </c>
      <c r="H73" s="10"/>
      <c r="I73" s="10"/>
      <c r="J73" s="11"/>
      <c r="K73" s="12"/>
      <c r="L73" s="12"/>
      <c r="M73" s="12"/>
      <c r="N73" s="10"/>
      <c r="O73" s="10"/>
      <c r="P73" s="11"/>
      <c r="Q73" s="10"/>
    </row>
    <row r="74" customFormat="false" ht="15" hidden="false" customHeight="false" outlineLevel="0" collapsed="false">
      <c r="A74" s="10"/>
      <c r="B74" s="10"/>
      <c r="C74" s="12"/>
      <c r="D74" s="10"/>
      <c r="E74" s="10"/>
      <c r="F74" s="10"/>
      <c r="G74" s="14" t="str">
        <f aca="false">IF(OR(C74="",F74=""),"",C74+IF(F74="紧急",0,IF(F74="优先",3,14)))</f>
        <v/>
      </c>
      <c r="H74" s="10"/>
      <c r="I74" s="10"/>
      <c r="J74" s="11"/>
      <c r="K74" s="12"/>
      <c r="L74" s="12"/>
      <c r="M74" s="12"/>
      <c r="N74" s="10"/>
      <c r="O74" s="10"/>
      <c r="P74" s="11"/>
      <c r="Q74" s="10"/>
    </row>
    <row r="75" customFormat="false" ht="15" hidden="false" customHeight="false" outlineLevel="0" collapsed="false">
      <c r="A75" s="10"/>
      <c r="B75" s="10"/>
      <c r="C75" s="12"/>
      <c r="D75" s="10"/>
      <c r="E75" s="10"/>
      <c r="F75" s="10"/>
      <c r="G75" s="14" t="str">
        <f aca="false">IF(OR(C75="",F75=""),"",C75+IF(F75="紧急",0,IF(F75="优先",3,14)))</f>
        <v/>
      </c>
      <c r="H75" s="10"/>
      <c r="I75" s="10"/>
      <c r="J75" s="11"/>
      <c r="K75" s="12"/>
      <c r="L75" s="12"/>
      <c r="M75" s="12"/>
      <c r="N75" s="10"/>
      <c r="O75" s="10"/>
      <c r="P75" s="11"/>
      <c r="Q75" s="10"/>
    </row>
    <row r="76" customFormat="false" ht="15" hidden="false" customHeight="false" outlineLevel="0" collapsed="false">
      <c r="A76" s="10"/>
      <c r="B76" s="10"/>
      <c r="C76" s="12"/>
      <c r="D76" s="10"/>
      <c r="E76" s="10"/>
      <c r="F76" s="10"/>
      <c r="G76" s="14" t="str">
        <f aca="false">IF(OR(C76="",F76=""),"",C76+IF(F76="紧急",0,IF(F76="优先",3,14)))</f>
        <v/>
      </c>
      <c r="H76" s="10"/>
      <c r="I76" s="10"/>
      <c r="J76" s="11"/>
      <c r="K76" s="12"/>
      <c r="L76" s="12"/>
      <c r="M76" s="12"/>
      <c r="N76" s="10"/>
      <c r="O76" s="10"/>
      <c r="P76" s="11"/>
      <c r="Q76" s="10"/>
    </row>
    <row r="77" customFormat="false" ht="15" hidden="false" customHeight="false" outlineLevel="0" collapsed="false">
      <c r="A77" s="10"/>
      <c r="B77" s="10"/>
      <c r="C77" s="12"/>
      <c r="D77" s="10"/>
      <c r="E77" s="10"/>
      <c r="F77" s="10"/>
      <c r="G77" s="14" t="str">
        <f aca="false">IF(OR(C77="",F77=""),"",C77+IF(F77="紧急",0,IF(F77="优先",3,14)))</f>
        <v/>
      </c>
      <c r="H77" s="10"/>
      <c r="I77" s="10"/>
      <c r="J77" s="11"/>
      <c r="K77" s="12"/>
      <c r="L77" s="12"/>
      <c r="M77" s="12"/>
      <c r="N77" s="10"/>
      <c r="O77" s="10"/>
      <c r="P77" s="11"/>
      <c r="Q77" s="10"/>
    </row>
    <row r="78" customFormat="false" ht="15" hidden="false" customHeight="false" outlineLevel="0" collapsed="false">
      <c r="A78" s="10"/>
      <c r="B78" s="10"/>
      <c r="C78" s="12"/>
      <c r="D78" s="10"/>
      <c r="E78" s="10"/>
      <c r="F78" s="10"/>
      <c r="G78" s="14" t="str">
        <f aca="false">IF(OR(C78="",F78=""),"",C78+IF(F78="紧急",0,IF(F78="优先",3,14)))</f>
        <v/>
      </c>
      <c r="H78" s="10"/>
      <c r="I78" s="10"/>
      <c r="J78" s="11"/>
      <c r="K78" s="12"/>
      <c r="L78" s="12"/>
      <c r="M78" s="12"/>
      <c r="N78" s="10"/>
      <c r="O78" s="10"/>
      <c r="P78" s="11"/>
      <c r="Q78" s="10"/>
    </row>
    <row r="79" customFormat="false" ht="15" hidden="false" customHeight="false" outlineLevel="0" collapsed="false">
      <c r="A79" s="10"/>
      <c r="B79" s="10"/>
      <c r="C79" s="12"/>
      <c r="D79" s="10"/>
      <c r="E79" s="10"/>
      <c r="F79" s="10"/>
      <c r="G79" s="14" t="str">
        <f aca="false">IF(OR(C79="",F79=""),"",C79+IF(F79="紧急",0,IF(F79="优先",3,14)))</f>
        <v/>
      </c>
      <c r="H79" s="10"/>
      <c r="I79" s="10"/>
      <c r="J79" s="11"/>
      <c r="K79" s="12"/>
      <c r="L79" s="12"/>
      <c r="M79" s="12"/>
      <c r="N79" s="10"/>
      <c r="O79" s="10"/>
      <c r="P79" s="11"/>
      <c r="Q79" s="10"/>
    </row>
    <row r="80" customFormat="false" ht="15" hidden="false" customHeight="false" outlineLevel="0" collapsed="false">
      <c r="A80" s="10"/>
      <c r="B80" s="10"/>
      <c r="C80" s="12"/>
      <c r="D80" s="10"/>
      <c r="E80" s="10"/>
      <c r="F80" s="10"/>
      <c r="G80" s="14" t="str">
        <f aca="false">IF(OR(C80="",F80=""),"",C80+IF(F80="紧急",0,IF(F80="优先",3,14)))</f>
        <v/>
      </c>
      <c r="H80" s="10"/>
      <c r="I80" s="10"/>
      <c r="J80" s="11"/>
      <c r="K80" s="12"/>
      <c r="L80" s="12"/>
      <c r="M80" s="12"/>
      <c r="N80" s="10"/>
      <c r="O80" s="10"/>
      <c r="P80" s="11"/>
      <c r="Q80" s="10"/>
    </row>
    <row r="81" customFormat="false" ht="15" hidden="false" customHeight="false" outlineLevel="0" collapsed="false">
      <c r="A81" s="10"/>
      <c r="B81" s="10"/>
      <c r="C81" s="12"/>
      <c r="D81" s="10"/>
      <c r="E81" s="10"/>
      <c r="F81" s="10"/>
      <c r="G81" s="14" t="str">
        <f aca="false">IF(OR(C81="",F81=""),"",C81+IF(F81="紧急",0,IF(F81="优先",3,14)))</f>
        <v/>
      </c>
      <c r="H81" s="10"/>
      <c r="I81" s="10"/>
      <c r="J81" s="11"/>
      <c r="K81" s="12"/>
      <c r="L81" s="12"/>
      <c r="M81" s="12"/>
      <c r="N81" s="10"/>
      <c r="O81" s="10"/>
      <c r="P81" s="11"/>
      <c r="Q81" s="10"/>
    </row>
    <row r="82" customFormat="false" ht="15" hidden="false" customHeight="false" outlineLevel="0" collapsed="false">
      <c r="A82" s="10"/>
      <c r="B82" s="10"/>
      <c r="C82" s="12"/>
      <c r="D82" s="10"/>
      <c r="E82" s="10"/>
      <c r="F82" s="10"/>
      <c r="G82" s="14" t="str">
        <f aca="false">IF(OR(C82="",F82=""),"",C82+IF(F82="紧急",0,IF(F82="优先",3,14)))</f>
        <v/>
      </c>
      <c r="H82" s="10"/>
      <c r="I82" s="10"/>
      <c r="J82" s="11"/>
      <c r="K82" s="12"/>
      <c r="L82" s="12"/>
      <c r="M82" s="12"/>
      <c r="N82" s="10"/>
      <c r="O82" s="10"/>
      <c r="P82" s="11"/>
      <c r="Q82" s="10"/>
    </row>
    <row r="83" customFormat="false" ht="15" hidden="false" customHeight="false" outlineLevel="0" collapsed="false">
      <c r="A83" s="10"/>
      <c r="B83" s="10"/>
      <c r="C83" s="12"/>
      <c r="D83" s="10"/>
      <c r="E83" s="10"/>
      <c r="F83" s="10"/>
      <c r="G83" s="14" t="str">
        <f aca="false">IF(OR(C83="",F83=""),"",C83+IF(F83="紧急",0,IF(F83="优先",3,14)))</f>
        <v/>
      </c>
      <c r="H83" s="10"/>
      <c r="I83" s="10"/>
      <c r="J83" s="11"/>
      <c r="K83" s="12"/>
      <c r="L83" s="12"/>
      <c r="M83" s="12"/>
      <c r="N83" s="10"/>
      <c r="O83" s="10"/>
      <c r="P83" s="11"/>
      <c r="Q83" s="10"/>
    </row>
    <row r="84" customFormat="false" ht="15" hidden="false" customHeight="false" outlineLevel="0" collapsed="false">
      <c r="A84" s="10"/>
      <c r="B84" s="10"/>
      <c r="C84" s="12"/>
      <c r="D84" s="10"/>
      <c r="E84" s="10"/>
      <c r="F84" s="10"/>
      <c r="G84" s="14" t="str">
        <f aca="false">IF(OR(C84="",F84=""),"",C84+IF(F84="紧急",0,IF(F84="优先",3,14)))</f>
        <v/>
      </c>
      <c r="H84" s="10"/>
      <c r="I84" s="10"/>
      <c r="J84" s="11"/>
      <c r="K84" s="12"/>
      <c r="L84" s="12"/>
      <c r="M84" s="12"/>
      <c r="N84" s="10"/>
      <c r="O84" s="10"/>
      <c r="P84" s="11"/>
      <c r="Q84" s="10"/>
    </row>
    <row r="85" customFormat="false" ht="15" hidden="false" customHeight="false" outlineLevel="0" collapsed="false">
      <c r="A85" s="10"/>
      <c r="B85" s="10"/>
      <c r="C85" s="12"/>
      <c r="D85" s="10"/>
      <c r="E85" s="10"/>
      <c r="F85" s="10"/>
      <c r="G85" s="14" t="str">
        <f aca="false">IF(OR(C85="",F85=""),"",C85+IF(F85="紧急",0,IF(F85="优先",3,14)))</f>
        <v/>
      </c>
      <c r="H85" s="10"/>
      <c r="I85" s="10"/>
      <c r="J85" s="11"/>
      <c r="K85" s="12"/>
      <c r="L85" s="12"/>
      <c r="M85" s="12"/>
      <c r="N85" s="10"/>
      <c r="O85" s="10"/>
      <c r="P85" s="11"/>
      <c r="Q85" s="10"/>
    </row>
    <row r="86" customFormat="false" ht="15" hidden="false" customHeight="false" outlineLevel="0" collapsed="false">
      <c r="A86" s="10"/>
      <c r="B86" s="10"/>
      <c r="C86" s="12"/>
      <c r="D86" s="10"/>
      <c r="E86" s="10"/>
      <c r="F86" s="10"/>
      <c r="G86" s="14" t="str">
        <f aca="false">IF(OR(C86="",F86=""),"",C86+IF(F86="紧急",0,IF(F86="优先",3,14)))</f>
        <v/>
      </c>
      <c r="H86" s="10"/>
      <c r="I86" s="10"/>
      <c r="J86" s="11"/>
      <c r="K86" s="12"/>
      <c r="L86" s="12"/>
      <c r="M86" s="12"/>
      <c r="N86" s="10"/>
      <c r="O86" s="10"/>
      <c r="P86" s="11"/>
      <c r="Q86" s="10"/>
    </row>
    <row r="87" customFormat="false" ht="15" hidden="false" customHeight="false" outlineLevel="0" collapsed="false">
      <c r="A87" s="10"/>
      <c r="B87" s="10"/>
      <c r="C87" s="12"/>
      <c r="D87" s="10"/>
      <c r="E87" s="10"/>
      <c r="F87" s="10"/>
      <c r="G87" s="14" t="str">
        <f aca="false">IF(OR(C87="",F87=""),"",C87+IF(F87="紧急",0,IF(F87="优先",3,14)))</f>
        <v/>
      </c>
      <c r="H87" s="10"/>
      <c r="I87" s="10"/>
      <c r="J87" s="11"/>
      <c r="K87" s="12"/>
      <c r="L87" s="12"/>
      <c r="M87" s="12"/>
      <c r="N87" s="10"/>
      <c r="O87" s="10"/>
      <c r="P87" s="11"/>
      <c r="Q87" s="10"/>
    </row>
    <row r="88" customFormat="false" ht="15" hidden="false" customHeight="false" outlineLevel="0" collapsed="false">
      <c r="A88" s="10"/>
      <c r="B88" s="10"/>
      <c r="C88" s="12"/>
      <c r="D88" s="10"/>
      <c r="E88" s="10"/>
      <c r="F88" s="10"/>
      <c r="G88" s="14" t="str">
        <f aca="false">IF(OR(C88="",F88=""),"",C88+IF(F88="紧急",0,IF(F88="优先",3,14)))</f>
        <v/>
      </c>
      <c r="H88" s="10"/>
      <c r="I88" s="10"/>
      <c r="J88" s="11"/>
      <c r="K88" s="12"/>
      <c r="L88" s="12"/>
      <c r="M88" s="12"/>
      <c r="N88" s="10"/>
      <c r="O88" s="10"/>
      <c r="P88" s="11"/>
      <c r="Q88" s="10"/>
    </row>
    <row r="89" customFormat="false" ht="15" hidden="false" customHeight="false" outlineLevel="0" collapsed="false">
      <c r="A89" s="10"/>
      <c r="B89" s="10"/>
      <c r="C89" s="12"/>
      <c r="D89" s="10"/>
      <c r="E89" s="10"/>
      <c r="F89" s="10"/>
      <c r="G89" s="14" t="str">
        <f aca="false">IF(OR(C89="",F89=""),"",C89+IF(F89="紧急",0,IF(F89="优先",3,14)))</f>
        <v/>
      </c>
      <c r="H89" s="10"/>
      <c r="I89" s="10"/>
      <c r="J89" s="11"/>
      <c r="K89" s="12"/>
      <c r="L89" s="12"/>
      <c r="M89" s="12"/>
      <c r="N89" s="10"/>
      <c r="O89" s="10"/>
      <c r="P89" s="11"/>
      <c r="Q89" s="10"/>
    </row>
    <row r="90" customFormat="false" ht="15" hidden="false" customHeight="false" outlineLevel="0" collapsed="false">
      <c r="A90" s="10"/>
      <c r="B90" s="10"/>
      <c r="C90" s="12"/>
      <c r="D90" s="10"/>
      <c r="E90" s="10"/>
      <c r="F90" s="10"/>
      <c r="G90" s="14" t="str">
        <f aca="false">IF(OR(C90="",F90=""),"",C90+IF(F90="紧急",0,IF(F90="优先",3,14)))</f>
        <v/>
      </c>
      <c r="H90" s="10"/>
      <c r="I90" s="10"/>
      <c r="J90" s="11"/>
      <c r="K90" s="12"/>
      <c r="L90" s="12"/>
      <c r="M90" s="12"/>
      <c r="N90" s="10"/>
      <c r="O90" s="10"/>
      <c r="P90" s="11"/>
      <c r="Q90" s="10"/>
    </row>
    <row r="91" customFormat="false" ht="15" hidden="false" customHeight="false" outlineLevel="0" collapsed="false">
      <c r="A91" s="10"/>
      <c r="B91" s="10"/>
      <c r="C91" s="12"/>
      <c r="D91" s="10"/>
      <c r="E91" s="10"/>
      <c r="F91" s="10"/>
      <c r="G91" s="14" t="str">
        <f aca="false">IF(OR(C91="",F91=""),"",C91+IF(F91="紧急",0,IF(F91="优先",3,14)))</f>
        <v/>
      </c>
      <c r="H91" s="10"/>
      <c r="I91" s="10"/>
      <c r="J91" s="11"/>
      <c r="K91" s="12"/>
      <c r="L91" s="12"/>
      <c r="M91" s="12"/>
      <c r="N91" s="10"/>
      <c r="O91" s="10"/>
      <c r="P91" s="11"/>
      <c r="Q91" s="10"/>
    </row>
    <row r="92" customFormat="false" ht="15" hidden="false" customHeight="false" outlineLevel="0" collapsed="false">
      <c r="A92" s="10"/>
      <c r="B92" s="10"/>
      <c r="C92" s="12"/>
      <c r="D92" s="10"/>
      <c r="E92" s="10"/>
      <c r="F92" s="10"/>
      <c r="G92" s="14" t="str">
        <f aca="false">IF(OR(C92="",F92=""),"",C92+IF(F92="紧急",0,IF(F92="优先",3,14)))</f>
        <v/>
      </c>
      <c r="H92" s="10"/>
      <c r="I92" s="10"/>
      <c r="J92" s="11"/>
      <c r="K92" s="12"/>
      <c r="L92" s="12"/>
      <c r="M92" s="12"/>
      <c r="N92" s="10"/>
      <c r="O92" s="10"/>
      <c r="P92" s="11"/>
      <c r="Q92" s="10"/>
    </row>
    <row r="93" customFormat="false" ht="15" hidden="false" customHeight="false" outlineLevel="0" collapsed="false">
      <c r="A93" s="10"/>
      <c r="B93" s="10"/>
      <c r="C93" s="12"/>
      <c r="D93" s="10"/>
      <c r="E93" s="10"/>
      <c r="F93" s="10"/>
      <c r="G93" s="14" t="str">
        <f aca="false">IF(OR(C93="",F93=""),"",C93+IF(F93="紧急",0,IF(F93="优先",3,14)))</f>
        <v/>
      </c>
      <c r="H93" s="10"/>
      <c r="I93" s="10"/>
      <c r="J93" s="11"/>
      <c r="K93" s="12"/>
      <c r="L93" s="12"/>
      <c r="M93" s="12"/>
      <c r="N93" s="10"/>
      <c r="O93" s="10"/>
      <c r="P93" s="11"/>
      <c r="Q93" s="10"/>
    </row>
    <row r="94" customFormat="false" ht="15" hidden="false" customHeight="false" outlineLevel="0" collapsed="false">
      <c r="A94" s="10"/>
      <c r="B94" s="10"/>
      <c r="C94" s="12"/>
      <c r="D94" s="10"/>
      <c r="E94" s="10"/>
      <c r="F94" s="10"/>
      <c r="G94" s="14" t="str">
        <f aca="false">IF(OR(C94="",F94=""),"",C94+IF(F94="紧急",0,IF(F94="优先",3,14)))</f>
        <v/>
      </c>
      <c r="H94" s="10"/>
      <c r="I94" s="10"/>
      <c r="J94" s="11"/>
      <c r="K94" s="12"/>
      <c r="L94" s="12"/>
      <c r="M94" s="12"/>
      <c r="N94" s="10"/>
      <c r="O94" s="10"/>
      <c r="P94" s="11"/>
      <c r="Q94" s="10"/>
    </row>
    <row r="95" customFormat="false" ht="15" hidden="false" customHeight="false" outlineLevel="0" collapsed="false">
      <c r="A95" s="10"/>
      <c r="B95" s="10"/>
      <c r="C95" s="12"/>
      <c r="D95" s="10"/>
      <c r="E95" s="10"/>
      <c r="F95" s="10"/>
      <c r="G95" s="14" t="str">
        <f aca="false">IF(OR(C95="",F95=""),"",C95+IF(F95="紧急",0,IF(F95="优先",3,14)))</f>
        <v/>
      </c>
      <c r="H95" s="10"/>
      <c r="I95" s="10"/>
      <c r="J95" s="11"/>
      <c r="K95" s="12"/>
      <c r="L95" s="12"/>
      <c r="M95" s="12"/>
      <c r="N95" s="10"/>
      <c r="O95" s="10"/>
      <c r="P95" s="11"/>
      <c r="Q95" s="10"/>
    </row>
    <row r="96" customFormat="false" ht="15" hidden="false" customHeight="false" outlineLevel="0" collapsed="false">
      <c r="A96" s="10"/>
      <c r="B96" s="10"/>
      <c r="C96" s="12"/>
      <c r="D96" s="10"/>
      <c r="E96" s="10"/>
      <c r="F96" s="10"/>
      <c r="G96" s="14" t="str">
        <f aca="false">IF(OR(C96="",F96=""),"",C96+IF(F96="紧急",0,IF(F96="优先",3,14)))</f>
        <v/>
      </c>
      <c r="H96" s="10"/>
      <c r="I96" s="10"/>
      <c r="J96" s="11"/>
      <c r="K96" s="12"/>
      <c r="L96" s="12"/>
      <c r="M96" s="12"/>
      <c r="N96" s="10"/>
      <c r="O96" s="10"/>
      <c r="P96" s="11"/>
      <c r="Q96" s="10"/>
    </row>
    <row r="97" customFormat="false" ht="15" hidden="false" customHeight="false" outlineLevel="0" collapsed="false">
      <c r="A97" s="10"/>
      <c r="B97" s="10"/>
      <c r="C97" s="12"/>
      <c r="D97" s="10"/>
      <c r="E97" s="10"/>
      <c r="F97" s="10"/>
      <c r="G97" s="14" t="str">
        <f aca="false">IF(OR(C97="",F97=""),"",C97+IF(F97="紧急",0,IF(F97="优先",3,14)))</f>
        <v/>
      </c>
      <c r="H97" s="10"/>
      <c r="I97" s="10"/>
      <c r="J97" s="11"/>
      <c r="K97" s="12"/>
      <c r="L97" s="12"/>
      <c r="M97" s="12"/>
      <c r="N97" s="10"/>
      <c r="O97" s="10"/>
      <c r="P97" s="11"/>
      <c r="Q97" s="10"/>
    </row>
    <row r="98" customFormat="false" ht="15" hidden="false" customHeight="false" outlineLevel="0" collapsed="false">
      <c r="A98" s="10"/>
      <c r="B98" s="10"/>
      <c r="C98" s="12"/>
      <c r="D98" s="10"/>
      <c r="E98" s="10"/>
      <c r="F98" s="10"/>
      <c r="G98" s="14" t="str">
        <f aca="false">IF(OR(C98="",F98=""),"",C98+IF(F98="紧急",0,IF(F98="优先",3,14)))</f>
        <v/>
      </c>
      <c r="H98" s="10"/>
      <c r="I98" s="10"/>
      <c r="J98" s="11"/>
      <c r="K98" s="12"/>
      <c r="L98" s="12"/>
      <c r="M98" s="12"/>
      <c r="N98" s="10"/>
      <c r="O98" s="10"/>
      <c r="P98" s="11"/>
      <c r="Q98" s="10"/>
    </row>
    <row r="99" customFormat="false" ht="15" hidden="false" customHeight="false" outlineLevel="0" collapsed="false">
      <c r="A99" s="10"/>
      <c r="B99" s="10"/>
      <c r="C99" s="12"/>
      <c r="D99" s="10"/>
      <c r="E99" s="10"/>
      <c r="F99" s="10"/>
      <c r="G99" s="14" t="str">
        <f aca="false">IF(OR(C99="",F99=""),"",C99+IF(F99="紧急",0,IF(F99="优先",3,14)))</f>
        <v/>
      </c>
      <c r="H99" s="10"/>
      <c r="I99" s="10"/>
      <c r="J99" s="11"/>
      <c r="K99" s="12"/>
      <c r="L99" s="12"/>
      <c r="M99" s="12"/>
      <c r="N99" s="10"/>
      <c r="O99" s="10"/>
      <c r="P99" s="11"/>
      <c r="Q99" s="10"/>
    </row>
    <row r="100" customFormat="false" ht="15" hidden="false" customHeight="false" outlineLevel="0" collapsed="false">
      <c r="A100" s="10"/>
      <c r="B100" s="10"/>
      <c r="C100" s="12"/>
      <c r="D100" s="10"/>
      <c r="E100" s="10"/>
      <c r="F100" s="10"/>
      <c r="G100" s="14" t="str">
        <f aca="false">IF(OR(C100="",F100=""),"",C100+IF(F100="紧急",0,IF(F100="优先",3,14)))</f>
        <v/>
      </c>
      <c r="H100" s="10"/>
      <c r="I100" s="10"/>
      <c r="J100" s="11"/>
      <c r="K100" s="12"/>
      <c r="L100" s="12"/>
      <c r="M100" s="12"/>
      <c r="N100" s="10"/>
      <c r="O100" s="10"/>
      <c r="P100" s="11"/>
      <c r="Q100" s="10"/>
    </row>
    <row r="101" customFormat="false" ht="15" hidden="false" customHeight="false" outlineLevel="0" collapsed="false">
      <c r="A101" s="10"/>
      <c r="B101" s="10"/>
      <c r="C101" s="12"/>
      <c r="D101" s="10"/>
      <c r="E101" s="10"/>
      <c r="F101" s="10"/>
      <c r="G101" s="14" t="str">
        <f aca="false">IF(OR(C101="",F101=""),"",C101+IF(F101="紧急",0,IF(F101="优先",3,14)))</f>
        <v/>
      </c>
      <c r="H101" s="10"/>
      <c r="I101" s="10"/>
      <c r="J101" s="11"/>
      <c r="K101" s="12"/>
      <c r="L101" s="12"/>
      <c r="M101" s="12"/>
      <c r="N101" s="10"/>
      <c r="O101" s="10"/>
      <c r="P101" s="11"/>
      <c r="Q101" s="10"/>
    </row>
    <row r="102" customFormat="false" ht="15" hidden="false" customHeight="false" outlineLevel="0" collapsed="false">
      <c r="A102" s="10"/>
      <c r="B102" s="10"/>
      <c r="C102" s="12"/>
      <c r="D102" s="10"/>
      <c r="E102" s="10"/>
      <c r="F102" s="10"/>
      <c r="G102" s="14" t="str">
        <f aca="false">IF(OR(C102="",F102=""),"",C102+IF(F102="紧急",0,IF(F102="优先",3,14)))</f>
        <v/>
      </c>
      <c r="H102" s="10"/>
      <c r="I102" s="10"/>
      <c r="J102" s="11"/>
      <c r="K102" s="12"/>
      <c r="L102" s="12"/>
      <c r="M102" s="12"/>
      <c r="N102" s="10"/>
      <c r="O102" s="10"/>
      <c r="P102" s="11"/>
      <c r="Q102" s="10"/>
    </row>
    <row r="103" customFormat="false" ht="15" hidden="false" customHeight="false" outlineLevel="0" collapsed="false">
      <c r="A103" s="10"/>
      <c r="B103" s="10"/>
      <c r="C103" s="12"/>
      <c r="D103" s="10"/>
      <c r="E103" s="10"/>
      <c r="F103" s="10"/>
      <c r="G103" s="14" t="str">
        <f aca="false">IF(OR(C103="",F103=""),"",C103+IF(F103="紧急",0,IF(F103="优先",3,14)))</f>
        <v/>
      </c>
      <c r="H103" s="10"/>
      <c r="I103" s="10"/>
      <c r="J103" s="11"/>
      <c r="K103" s="12"/>
      <c r="L103" s="12"/>
      <c r="M103" s="12"/>
      <c r="N103" s="10"/>
      <c r="O103" s="10"/>
      <c r="P103" s="11"/>
      <c r="Q103" s="10"/>
    </row>
    <row r="104" customFormat="false" ht="15" hidden="false" customHeight="false" outlineLevel="0" collapsed="false">
      <c r="A104" s="10"/>
      <c r="B104" s="10"/>
      <c r="C104" s="12"/>
      <c r="D104" s="10"/>
      <c r="E104" s="10"/>
      <c r="F104" s="10"/>
      <c r="G104" s="14" t="str">
        <f aca="false">IF(OR(C104="",F104=""),"",C104+IF(F104="紧急",0,IF(F104="优先",3,14)))</f>
        <v/>
      </c>
      <c r="H104" s="10"/>
      <c r="I104" s="10"/>
      <c r="J104" s="11"/>
      <c r="K104" s="12"/>
      <c r="L104" s="12"/>
      <c r="M104" s="12"/>
      <c r="N104" s="10"/>
      <c r="O104" s="10"/>
      <c r="P104" s="11"/>
      <c r="Q104" s="10"/>
    </row>
    <row r="105" customFormat="false" ht="15" hidden="false" customHeight="false" outlineLevel="0" collapsed="false">
      <c r="A105" s="10"/>
      <c r="B105" s="10"/>
      <c r="C105" s="12"/>
      <c r="D105" s="10"/>
      <c r="E105" s="10"/>
      <c r="F105" s="10"/>
      <c r="G105" s="14" t="str">
        <f aca="false">IF(OR(C105="",F105=""),"",C105+IF(F105="紧急",0,IF(F105="优先",3,14)))</f>
        <v/>
      </c>
      <c r="H105" s="10"/>
      <c r="I105" s="10"/>
      <c r="J105" s="11"/>
      <c r="K105" s="12"/>
      <c r="L105" s="12"/>
      <c r="M105" s="12"/>
      <c r="N105" s="10"/>
      <c r="O105" s="10"/>
      <c r="P105" s="11"/>
      <c r="Q105" s="10"/>
    </row>
    <row r="106" customFormat="false" ht="15" hidden="false" customHeight="false" outlineLevel="0" collapsed="false">
      <c r="A106" s="10"/>
      <c r="B106" s="10"/>
      <c r="C106" s="12"/>
      <c r="D106" s="10"/>
      <c r="E106" s="10"/>
      <c r="F106" s="10"/>
      <c r="G106" s="14" t="str">
        <f aca="false">IF(OR(C106="",F106=""),"",C106+IF(F106="紧急",0,IF(F106="优先",3,14)))</f>
        <v/>
      </c>
      <c r="H106" s="10"/>
      <c r="I106" s="10"/>
      <c r="J106" s="11"/>
      <c r="K106" s="12"/>
      <c r="L106" s="12"/>
      <c r="M106" s="12"/>
      <c r="N106" s="10"/>
      <c r="O106" s="10"/>
      <c r="P106" s="11"/>
      <c r="Q106" s="10"/>
    </row>
    <row r="107" customFormat="false" ht="15" hidden="false" customHeight="false" outlineLevel="0" collapsed="false">
      <c r="A107" s="10"/>
      <c r="B107" s="10"/>
      <c r="C107" s="12"/>
      <c r="D107" s="10"/>
      <c r="E107" s="10"/>
      <c r="F107" s="10"/>
      <c r="G107" s="14" t="str">
        <f aca="false">IF(OR(C107="",F107=""),"",C107+IF(F107="紧急",0,IF(F107="优先",3,14)))</f>
        <v/>
      </c>
      <c r="H107" s="10"/>
      <c r="I107" s="10"/>
      <c r="J107" s="11"/>
      <c r="K107" s="12"/>
      <c r="L107" s="12"/>
      <c r="M107" s="12"/>
      <c r="N107" s="10"/>
      <c r="O107" s="10"/>
      <c r="P107" s="11"/>
      <c r="Q107" s="10"/>
    </row>
    <row r="108" customFormat="false" ht="15" hidden="false" customHeight="false" outlineLevel="0" collapsed="false">
      <c r="A108" s="10"/>
      <c r="B108" s="10"/>
      <c r="C108" s="12"/>
      <c r="D108" s="10"/>
      <c r="E108" s="10"/>
      <c r="F108" s="10"/>
      <c r="G108" s="14" t="str">
        <f aca="false">IF(OR(C108="",F108=""),"",C108+IF(F108="紧急",0,IF(F108="优先",3,14)))</f>
        <v/>
      </c>
      <c r="H108" s="10"/>
      <c r="I108" s="10"/>
      <c r="J108" s="11"/>
      <c r="K108" s="12"/>
      <c r="L108" s="12"/>
      <c r="M108" s="12"/>
      <c r="N108" s="10"/>
      <c r="O108" s="10"/>
      <c r="P108" s="11"/>
      <c r="Q108" s="10"/>
    </row>
    <row r="109" customFormat="false" ht="15" hidden="false" customHeight="false" outlineLevel="0" collapsed="false">
      <c r="A109" s="10"/>
      <c r="B109" s="10"/>
      <c r="C109" s="12"/>
      <c r="D109" s="10"/>
      <c r="E109" s="10"/>
      <c r="F109" s="10"/>
      <c r="G109" s="14" t="str">
        <f aca="false">IF(OR(C109="",F109=""),"",C109+IF(F109="紧急",0,IF(F109="优先",3,14)))</f>
        <v/>
      </c>
      <c r="H109" s="10"/>
      <c r="I109" s="10"/>
      <c r="J109" s="11"/>
      <c r="K109" s="12"/>
      <c r="L109" s="12"/>
      <c r="M109" s="12"/>
      <c r="N109" s="10"/>
      <c r="O109" s="10"/>
      <c r="P109" s="11"/>
      <c r="Q109" s="10"/>
    </row>
    <row r="110" customFormat="false" ht="15" hidden="false" customHeight="false" outlineLevel="0" collapsed="false">
      <c r="A110" s="10"/>
      <c r="B110" s="10"/>
      <c r="C110" s="12"/>
      <c r="D110" s="10"/>
      <c r="E110" s="10"/>
      <c r="F110" s="10"/>
      <c r="G110" s="14" t="str">
        <f aca="false">IF(OR(C110="",F110=""),"",C110+IF(F110="紧急",0,IF(F110="优先",3,14)))</f>
        <v/>
      </c>
      <c r="H110" s="10"/>
      <c r="I110" s="10"/>
      <c r="J110" s="11"/>
      <c r="K110" s="12"/>
      <c r="L110" s="12"/>
      <c r="M110" s="12"/>
      <c r="N110" s="10"/>
      <c r="O110" s="10"/>
      <c r="P110" s="11"/>
      <c r="Q110" s="10"/>
    </row>
    <row r="111" customFormat="false" ht="15" hidden="false" customHeight="false" outlineLevel="0" collapsed="false">
      <c r="A111" s="10"/>
      <c r="B111" s="10"/>
      <c r="C111" s="12"/>
      <c r="D111" s="10"/>
      <c r="E111" s="10"/>
      <c r="F111" s="10"/>
      <c r="G111" s="14" t="str">
        <f aca="false">IF(OR(C111="",F111=""),"",C111+IF(F111="紧急",0,IF(F111="优先",3,14)))</f>
        <v/>
      </c>
      <c r="H111" s="10"/>
      <c r="I111" s="10"/>
      <c r="J111" s="11"/>
      <c r="K111" s="12"/>
      <c r="L111" s="12"/>
      <c r="M111" s="12"/>
      <c r="N111" s="10"/>
      <c r="O111" s="10"/>
      <c r="P111" s="11"/>
      <c r="Q111" s="10"/>
    </row>
    <row r="112" customFormat="false" ht="15" hidden="false" customHeight="false" outlineLevel="0" collapsed="false">
      <c r="A112" s="10"/>
      <c r="B112" s="10"/>
      <c r="C112" s="12"/>
      <c r="D112" s="10"/>
      <c r="E112" s="10"/>
      <c r="F112" s="10"/>
      <c r="G112" s="14" t="str">
        <f aca="false">IF(OR(C112="",F112=""),"",C112+IF(F112="紧急",0,IF(F112="优先",3,14)))</f>
        <v/>
      </c>
      <c r="H112" s="10"/>
      <c r="I112" s="10"/>
      <c r="J112" s="11"/>
      <c r="K112" s="12"/>
      <c r="L112" s="12"/>
      <c r="M112" s="12"/>
      <c r="N112" s="10"/>
      <c r="O112" s="10"/>
      <c r="P112" s="11"/>
      <c r="Q112" s="10"/>
    </row>
    <row r="113" customFormat="false" ht="15" hidden="false" customHeight="false" outlineLevel="0" collapsed="false">
      <c r="A113" s="10"/>
      <c r="B113" s="10"/>
      <c r="C113" s="12"/>
      <c r="D113" s="10"/>
      <c r="E113" s="10"/>
      <c r="F113" s="10"/>
      <c r="G113" s="14" t="str">
        <f aca="false">IF(OR(C113="",F113=""),"",C113+IF(F113="紧急",0,IF(F113="优先",3,14)))</f>
        <v/>
      </c>
      <c r="H113" s="10"/>
      <c r="I113" s="10"/>
      <c r="J113" s="11"/>
      <c r="K113" s="12"/>
      <c r="L113" s="12"/>
      <c r="M113" s="12"/>
      <c r="N113" s="10"/>
      <c r="O113" s="10"/>
      <c r="P113" s="11"/>
      <c r="Q113" s="10"/>
    </row>
    <row r="114" customFormat="false" ht="15" hidden="false" customHeight="false" outlineLevel="0" collapsed="false">
      <c r="A114" s="10"/>
      <c r="B114" s="10"/>
      <c r="C114" s="12"/>
      <c r="D114" s="10"/>
      <c r="E114" s="10"/>
      <c r="F114" s="10"/>
      <c r="G114" s="14" t="str">
        <f aca="false">IF(OR(C114="",F114=""),"",C114+IF(F114="紧急",0,IF(F114="优先",3,14)))</f>
        <v/>
      </c>
      <c r="H114" s="10"/>
      <c r="I114" s="10"/>
      <c r="J114" s="11"/>
      <c r="K114" s="12"/>
      <c r="L114" s="12"/>
      <c r="M114" s="12"/>
      <c r="N114" s="10"/>
      <c r="O114" s="10"/>
      <c r="P114" s="11"/>
      <c r="Q114" s="10"/>
    </row>
    <row r="115" customFormat="false" ht="15" hidden="false" customHeight="false" outlineLevel="0" collapsed="false">
      <c r="A115" s="10"/>
      <c r="B115" s="10"/>
      <c r="C115" s="12"/>
      <c r="D115" s="10"/>
      <c r="E115" s="10"/>
      <c r="F115" s="10"/>
      <c r="G115" s="14" t="str">
        <f aca="false">IF(OR(C115="",F115=""),"",C115+IF(F115="紧急",0,IF(F115="优先",3,14)))</f>
        <v/>
      </c>
      <c r="H115" s="10"/>
      <c r="I115" s="10"/>
      <c r="J115" s="11"/>
      <c r="K115" s="12"/>
      <c r="L115" s="12"/>
      <c r="M115" s="12"/>
      <c r="N115" s="10"/>
      <c r="O115" s="10"/>
      <c r="P115" s="11"/>
      <c r="Q115" s="10"/>
    </row>
    <row r="116" customFormat="false" ht="15" hidden="false" customHeight="false" outlineLevel="0" collapsed="false">
      <c r="A116" s="10"/>
      <c r="B116" s="10"/>
      <c r="C116" s="12"/>
      <c r="D116" s="10"/>
      <c r="E116" s="10"/>
      <c r="F116" s="10"/>
      <c r="G116" s="14" t="str">
        <f aca="false">IF(OR(C116="",F116=""),"",C116+IF(F116="紧急",0,IF(F116="优先",3,14)))</f>
        <v/>
      </c>
      <c r="H116" s="10"/>
      <c r="I116" s="10"/>
      <c r="J116" s="11"/>
      <c r="K116" s="12"/>
      <c r="L116" s="12"/>
      <c r="M116" s="12"/>
      <c r="N116" s="10"/>
      <c r="O116" s="10"/>
      <c r="P116" s="11"/>
      <c r="Q116" s="10"/>
    </row>
    <row r="117" customFormat="false" ht="15" hidden="false" customHeight="false" outlineLevel="0" collapsed="false">
      <c r="A117" s="10"/>
      <c r="B117" s="10"/>
      <c r="C117" s="12"/>
      <c r="D117" s="10"/>
      <c r="E117" s="10"/>
      <c r="F117" s="10"/>
      <c r="G117" s="14" t="str">
        <f aca="false">IF(OR(C117="",F117=""),"",C117+IF(F117="紧急",0,IF(F117="优先",3,14)))</f>
        <v/>
      </c>
      <c r="H117" s="10"/>
      <c r="I117" s="10"/>
      <c r="J117" s="11"/>
      <c r="K117" s="12"/>
      <c r="L117" s="12"/>
      <c r="M117" s="12"/>
      <c r="N117" s="10"/>
      <c r="O117" s="10"/>
      <c r="P117" s="11"/>
      <c r="Q117" s="10"/>
    </row>
    <row r="118" customFormat="false" ht="15" hidden="false" customHeight="false" outlineLevel="0" collapsed="false">
      <c r="A118" s="10"/>
      <c r="B118" s="10"/>
      <c r="C118" s="12"/>
      <c r="D118" s="10"/>
      <c r="E118" s="10"/>
      <c r="F118" s="10"/>
      <c r="G118" s="14" t="str">
        <f aca="false">IF(OR(C118="",F118=""),"",C118+IF(F118="紧急",0,IF(F118="优先",3,14)))</f>
        <v/>
      </c>
      <c r="H118" s="10"/>
      <c r="I118" s="10"/>
      <c r="J118" s="11"/>
      <c r="K118" s="12"/>
      <c r="L118" s="12"/>
      <c r="M118" s="12"/>
      <c r="N118" s="10"/>
      <c r="O118" s="10"/>
      <c r="P118" s="11"/>
      <c r="Q118" s="10"/>
    </row>
    <row r="119" customFormat="false" ht="15" hidden="false" customHeight="false" outlineLevel="0" collapsed="false">
      <c r="A119" s="10"/>
      <c r="B119" s="10"/>
      <c r="C119" s="12"/>
      <c r="D119" s="10"/>
      <c r="E119" s="10"/>
      <c r="F119" s="10"/>
      <c r="G119" s="14" t="str">
        <f aca="false">IF(OR(C119="",F119=""),"",C119+IF(F119="紧急",0,IF(F119="优先",3,14)))</f>
        <v/>
      </c>
      <c r="H119" s="10"/>
      <c r="I119" s="10"/>
      <c r="J119" s="11"/>
      <c r="K119" s="12"/>
      <c r="L119" s="12"/>
      <c r="M119" s="12"/>
      <c r="N119" s="10"/>
      <c r="O119" s="10"/>
      <c r="P119" s="11"/>
      <c r="Q119" s="10"/>
    </row>
    <row r="120" customFormat="false" ht="15" hidden="false" customHeight="false" outlineLevel="0" collapsed="false">
      <c r="A120" s="10"/>
      <c r="B120" s="10"/>
      <c r="C120" s="12"/>
      <c r="D120" s="10"/>
      <c r="E120" s="10"/>
      <c r="F120" s="10"/>
      <c r="G120" s="14" t="str">
        <f aca="false">IF(OR(C120="",F120=""),"",C120+IF(F120="紧急",0,IF(F120="优先",3,14)))</f>
        <v/>
      </c>
      <c r="H120" s="10"/>
      <c r="I120" s="10"/>
      <c r="J120" s="11"/>
      <c r="K120" s="12"/>
      <c r="L120" s="12"/>
      <c r="M120" s="12"/>
      <c r="N120" s="10"/>
      <c r="O120" s="10"/>
      <c r="P120" s="11"/>
      <c r="Q120" s="10"/>
    </row>
    <row r="121" customFormat="false" ht="15" hidden="false" customHeight="false" outlineLevel="0" collapsed="false">
      <c r="A121" s="10"/>
      <c r="B121" s="10"/>
      <c r="C121" s="12"/>
      <c r="D121" s="10"/>
      <c r="E121" s="10"/>
      <c r="F121" s="10"/>
      <c r="G121" s="14" t="str">
        <f aca="false">IF(OR(C121="",F121=""),"",C121+IF(F121="紧急",0,IF(F121="优先",3,14)))</f>
        <v/>
      </c>
      <c r="H121" s="10"/>
      <c r="I121" s="10"/>
      <c r="J121" s="11"/>
      <c r="K121" s="12"/>
      <c r="L121" s="12"/>
      <c r="M121" s="12"/>
      <c r="N121" s="10"/>
      <c r="O121" s="10"/>
      <c r="P121" s="11"/>
      <c r="Q121" s="10"/>
    </row>
    <row r="122" customFormat="false" ht="15" hidden="false" customHeight="false" outlineLevel="0" collapsed="false">
      <c r="A122" s="10"/>
      <c r="B122" s="10"/>
      <c r="C122" s="12"/>
      <c r="D122" s="10"/>
      <c r="E122" s="10"/>
      <c r="F122" s="10"/>
      <c r="G122" s="14" t="str">
        <f aca="false">IF(OR(C122="",F122=""),"",C122+IF(F122="紧急",0,IF(F122="优先",3,14)))</f>
        <v/>
      </c>
      <c r="H122" s="10"/>
      <c r="I122" s="10"/>
      <c r="J122" s="11"/>
      <c r="K122" s="12"/>
      <c r="L122" s="12"/>
      <c r="M122" s="12"/>
      <c r="N122" s="10"/>
      <c r="O122" s="10"/>
      <c r="P122" s="11"/>
      <c r="Q122" s="10"/>
    </row>
    <row r="123" customFormat="false" ht="15" hidden="false" customHeight="false" outlineLevel="0" collapsed="false">
      <c r="A123" s="10"/>
      <c r="B123" s="10"/>
      <c r="C123" s="12"/>
      <c r="D123" s="10"/>
      <c r="E123" s="10"/>
      <c r="F123" s="10"/>
      <c r="G123" s="14" t="str">
        <f aca="false">IF(OR(C123="",F123=""),"",C123+IF(F123="紧急",0,IF(F123="优先",3,14)))</f>
        <v/>
      </c>
      <c r="H123" s="10"/>
      <c r="I123" s="10"/>
      <c r="J123" s="11"/>
      <c r="K123" s="12"/>
      <c r="L123" s="12"/>
      <c r="M123" s="12"/>
      <c r="N123" s="10"/>
      <c r="O123" s="10"/>
      <c r="P123" s="11"/>
      <c r="Q123" s="10"/>
    </row>
    <row r="124" customFormat="false" ht="15" hidden="false" customHeight="false" outlineLevel="0" collapsed="false">
      <c r="A124" s="10"/>
      <c r="B124" s="10"/>
      <c r="C124" s="12"/>
      <c r="D124" s="10"/>
      <c r="E124" s="10"/>
      <c r="F124" s="10"/>
      <c r="G124" s="14" t="str">
        <f aca="false">IF(OR(C124="",F124=""),"",C124+IF(F124="紧急",0,IF(F124="优先",3,14)))</f>
        <v/>
      </c>
      <c r="H124" s="10"/>
      <c r="I124" s="10"/>
      <c r="J124" s="11"/>
      <c r="K124" s="12"/>
      <c r="L124" s="12"/>
      <c r="M124" s="12"/>
      <c r="N124" s="10"/>
      <c r="O124" s="10"/>
      <c r="P124" s="11"/>
      <c r="Q124" s="10"/>
    </row>
    <row r="125" customFormat="false" ht="15" hidden="false" customHeight="false" outlineLevel="0" collapsed="false">
      <c r="A125" s="10"/>
      <c r="B125" s="10"/>
      <c r="C125" s="12"/>
      <c r="D125" s="10"/>
      <c r="E125" s="10"/>
      <c r="F125" s="10"/>
      <c r="G125" s="14" t="str">
        <f aca="false">IF(OR(C125="",F125=""),"",C125+IF(F125="紧急",0,IF(F125="优先",3,14)))</f>
        <v/>
      </c>
      <c r="H125" s="10"/>
      <c r="I125" s="10"/>
      <c r="J125" s="11"/>
      <c r="K125" s="12"/>
      <c r="L125" s="12"/>
      <c r="M125" s="12"/>
      <c r="N125" s="10"/>
      <c r="O125" s="10"/>
      <c r="P125" s="11"/>
      <c r="Q125" s="10"/>
    </row>
    <row r="126" customFormat="false" ht="15" hidden="false" customHeight="false" outlineLevel="0" collapsed="false">
      <c r="A126" s="10"/>
      <c r="B126" s="10"/>
      <c r="C126" s="12"/>
      <c r="D126" s="10"/>
      <c r="E126" s="10"/>
      <c r="F126" s="10"/>
      <c r="G126" s="14" t="str">
        <f aca="false">IF(OR(C126="",F126=""),"",C126+IF(F126="紧急",0,IF(F126="优先",3,14)))</f>
        <v/>
      </c>
      <c r="H126" s="10"/>
      <c r="I126" s="10"/>
      <c r="J126" s="11"/>
      <c r="K126" s="12"/>
      <c r="L126" s="12"/>
      <c r="M126" s="12"/>
      <c r="N126" s="10"/>
      <c r="O126" s="10"/>
      <c r="P126" s="11"/>
      <c r="Q126" s="10"/>
    </row>
    <row r="127" customFormat="false" ht="15" hidden="false" customHeight="false" outlineLevel="0" collapsed="false">
      <c r="A127" s="10"/>
      <c r="B127" s="10"/>
      <c r="C127" s="12"/>
      <c r="D127" s="10"/>
      <c r="E127" s="10"/>
      <c r="F127" s="10"/>
      <c r="G127" s="14" t="str">
        <f aca="false">IF(OR(C127="",F127=""),"",C127+IF(F127="紧急",0,IF(F127="优先",3,14)))</f>
        <v/>
      </c>
      <c r="H127" s="10"/>
      <c r="I127" s="10"/>
      <c r="J127" s="11"/>
      <c r="K127" s="12"/>
      <c r="L127" s="12"/>
      <c r="M127" s="12"/>
      <c r="N127" s="10"/>
      <c r="O127" s="10"/>
      <c r="P127" s="11"/>
      <c r="Q127" s="10"/>
    </row>
    <row r="128" customFormat="false" ht="15" hidden="false" customHeight="false" outlineLevel="0" collapsed="false">
      <c r="A128" s="10"/>
      <c r="B128" s="10"/>
      <c r="C128" s="12"/>
      <c r="D128" s="10"/>
      <c r="E128" s="10"/>
      <c r="F128" s="10"/>
      <c r="G128" s="14" t="str">
        <f aca="false">IF(OR(C128="",F128=""),"",C128+IF(F128="紧急",0,IF(F128="优先",3,14)))</f>
        <v/>
      </c>
      <c r="H128" s="10"/>
      <c r="I128" s="10"/>
      <c r="J128" s="11"/>
      <c r="K128" s="12"/>
      <c r="L128" s="12"/>
      <c r="M128" s="12"/>
      <c r="N128" s="10"/>
      <c r="O128" s="10"/>
      <c r="P128" s="11"/>
      <c r="Q128" s="10"/>
    </row>
    <row r="129" customFormat="false" ht="15" hidden="false" customHeight="false" outlineLevel="0" collapsed="false">
      <c r="A129" s="10"/>
      <c r="B129" s="10"/>
      <c r="C129" s="12"/>
      <c r="D129" s="10"/>
      <c r="E129" s="10"/>
      <c r="F129" s="10"/>
      <c r="G129" s="14" t="str">
        <f aca="false">IF(OR(C129="",F129=""),"",C129+IF(F129="紧急",0,IF(F129="优先",3,14)))</f>
        <v/>
      </c>
      <c r="H129" s="10"/>
      <c r="I129" s="10"/>
      <c r="J129" s="11"/>
      <c r="K129" s="12"/>
      <c r="L129" s="12"/>
      <c r="M129" s="12"/>
      <c r="N129" s="10"/>
      <c r="O129" s="10"/>
      <c r="P129" s="11"/>
      <c r="Q129" s="10"/>
    </row>
    <row r="130" customFormat="false" ht="15" hidden="false" customHeight="false" outlineLevel="0" collapsed="false">
      <c r="A130" s="10"/>
      <c r="B130" s="10"/>
      <c r="C130" s="12"/>
      <c r="D130" s="10"/>
      <c r="E130" s="10"/>
      <c r="F130" s="10"/>
      <c r="G130" s="14" t="str">
        <f aca="false">IF(OR(C130="",F130=""),"",C130+IF(F130="紧急",0,IF(F130="优先",3,14)))</f>
        <v/>
      </c>
      <c r="H130" s="10"/>
      <c r="I130" s="10"/>
      <c r="J130" s="11"/>
      <c r="K130" s="12"/>
      <c r="L130" s="12"/>
      <c r="M130" s="12"/>
      <c r="N130" s="10"/>
      <c r="O130" s="10"/>
      <c r="P130" s="11"/>
      <c r="Q130" s="10"/>
    </row>
    <row r="131" customFormat="false" ht="15" hidden="false" customHeight="false" outlineLevel="0" collapsed="false">
      <c r="A131" s="10"/>
      <c r="B131" s="10"/>
      <c r="C131" s="12"/>
      <c r="D131" s="10"/>
      <c r="E131" s="10"/>
      <c r="F131" s="10"/>
      <c r="G131" s="14" t="str">
        <f aca="false">IF(OR(C131="",F131=""),"",C131+IF(F131="紧急",0,IF(F131="优先",3,14)))</f>
        <v/>
      </c>
      <c r="H131" s="10"/>
      <c r="I131" s="10"/>
      <c r="J131" s="11"/>
      <c r="K131" s="12"/>
      <c r="L131" s="12"/>
      <c r="M131" s="12"/>
      <c r="N131" s="10"/>
      <c r="O131" s="10"/>
      <c r="P131" s="11"/>
      <c r="Q131" s="10"/>
    </row>
    <row r="132" customFormat="false" ht="15" hidden="false" customHeight="false" outlineLevel="0" collapsed="false">
      <c r="A132" s="10"/>
      <c r="B132" s="10"/>
      <c r="C132" s="12"/>
      <c r="D132" s="10"/>
      <c r="E132" s="10"/>
      <c r="F132" s="10"/>
      <c r="G132" s="14" t="str">
        <f aca="false">IF(OR(C132="",F132=""),"",C132+IF(F132="紧急",0,IF(F132="优先",3,14)))</f>
        <v/>
      </c>
      <c r="H132" s="10"/>
      <c r="I132" s="10"/>
      <c r="J132" s="11"/>
      <c r="K132" s="12"/>
      <c r="L132" s="12"/>
      <c r="M132" s="12"/>
      <c r="N132" s="10"/>
      <c r="O132" s="10"/>
      <c r="P132" s="11"/>
      <c r="Q132" s="10"/>
    </row>
    <row r="133" customFormat="false" ht="15" hidden="false" customHeight="false" outlineLevel="0" collapsed="false">
      <c r="A133" s="10"/>
      <c r="B133" s="10"/>
      <c r="C133" s="12"/>
      <c r="D133" s="10"/>
      <c r="E133" s="10"/>
      <c r="F133" s="10"/>
      <c r="G133" s="14" t="str">
        <f aca="false">IF(OR(C133="",F133=""),"",C133+IF(F133="紧急",0,IF(F133="优先",3,14)))</f>
        <v/>
      </c>
      <c r="H133" s="10"/>
      <c r="I133" s="10"/>
      <c r="J133" s="11"/>
      <c r="K133" s="12"/>
      <c r="L133" s="12"/>
      <c r="M133" s="12"/>
      <c r="N133" s="10"/>
      <c r="O133" s="10"/>
      <c r="P133" s="11"/>
      <c r="Q133" s="10"/>
    </row>
    <row r="134" customFormat="false" ht="15" hidden="false" customHeight="false" outlineLevel="0" collapsed="false">
      <c r="A134" s="10"/>
      <c r="B134" s="10"/>
      <c r="C134" s="12"/>
      <c r="D134" s="10"/>
      <c r="E134" s="10"/>
      <c r="F134" s="10"/>
      <c r="G134" s="14" t="str">
        <f aca="false">IF(OR(C134="",F134=""),"",C134+IF(F134="紧急",0,IF(F134="优先",3,14)))</f>
        <v/>
      </c>
      <c r="H134" s="10"/>
      <c r="I134" s="10"/>
      <c r="J134" s="11"/>
      <c r="K134" s="12"/>
      <c r="L134" s="12"/>
      <c r="M134" s="12"/>
      <c r="N134" s="10"/>
      <c r="O134" s="10"/>
      <c r="P134" s="11"/>
      <c r="Q134" s="10"/>
    </row>
    <row r="135" customFormat="false" ht="15" hidden="false" customHeight="false" outlineLevel="0" collapsed="false">
      <c r="A135" s="10"/>
      <c r="B135" s="10"/>
      <c r="C135" s="12"/>
      <c r="D135" s="10"/>
      <c r="E135" s="10"/>
      <c r="F135" s="10"/>
      <c r="G135" s="14" t="str">
        <f aca="false">IF(OR(C135="",F135=""),"",C135+IF(F135="紧急",0,IF(F135="优先",3,14)))</f>
        <v/>
      </c>
      <c r="H135" s="10"/>
      <c r="I135" s="10"/>
      <c r="J135" s="11"/>
      <c r="K135" s="12"/>
      <c r="L135" s="12"/>
      <c r="M135" s="12"/>
      <c r="N135" s="10"/>
      <c r="O135" s="10"/>
      <c r="P135" s="11"/>
      <c r="Q135" s="10"/>
    </row>
    <row r="136" customFormat="false" ht="15" hidden="false" customHeight="false" outlineLevel="0" collapsed="false">
      <c r="A136" s="10"/>
      <c r="B136" s="10"/>
      <c r="C136" s="12"/>
      <c r="D136" s="10"/>
      <c r="E136" s="10"/>
      <c r="F136" s="10"/>
      <c r="G136" s="14" t="str">
        <f aca="false">IF(OR(C136="",F136=""),"",C136+IF(F136="紧急",0,IF(F136="优先",3,14)))</f>
        <v/>
      </c>
      <c r="H136" s="10"/>
      <c r="I136" s="10"/>
      <c r="J136" s="11"/>
      <c r="K136" s="12"/>
      <c r="L136" s="12"/>
      <c r="M136" s="12"/>
      <c r="N136" s="10"/>
      <c r="O136" s="10"/>
      <c r="P136" s="11"/>
      <c r="Q136" s="10"/>
    </row>
    <row r="137" customFormat="false" ht="15" hidden="false" customHeight="false" outlineLevel="0" collapsed="false">
      <c r="A137" s="10"/>
      <c r="B137" s="10"/>
      <c r="C137" s="12"/>
      <c r="D137" s="10"/>
      <c r="E137" s="10"/>
      <c r="F137" s="10"/>
      <c r="G137" s="14" t="str">
        <f aca="false">IF(OR(C137="",F137=""),"",C137+IF(F137="紧急",0,IF(F137="优先",3,14)))</f>
        <v/>
      </c>
      <c r="H137" s="10"/>
      <c r="I137" s="10"/>
      <c r="J137" s="11"/>
      <c r="K137" s="12"/>
      <c r="L137" s="12"/>
      <c r="M137" s="12"/>
      <c r="N137" s="10"/>
      <c r="O137" s="10"/>
      <c r="P137" s="11"/>
      <c r="Q137" s="10"/>
    </row>
    <row r="138" customFormat="false" ht="15" hidden="false" customHeight="false" outlineLevel="0" collapsed="false">
      <c r="A138" s="10"/>
      <c r="B138" s="10"/>
      <c r="C138" s="12"/>
      <c r="D138" s="10"/>
      <c r="E138" s="10"/>
      <c r="F138" s="10"/>
      <c r="G138" s="14" t="str">
        <f aca="false">IF(OR(C138="",F138=""),"",C138+IF(F138="紧急",0,IF(F138="优先",3,14)))</f>
        <v/>
      </c>
      <c r="H138" s="10"/>
      <c r="I138" s="10"/>
      <c r="J138" s="11"/>
      <c r="K138" s="12"/>
      <c r="L138" s="12"/>
      <c r="M138" s="12"/>
      <c r="N138" s="10"/>
      <c r="O138" s="10"/>
      <c r="P138" s="11"/>
      <c r="Q138" s="10"/>
    </row>
    <row r="139" customFormat="false" ht="15" hidden="false" customHeight="false" outlineLevel="0" collapsed="false">
      <c r="A139" s="10"/>
      <c r="B139" s="10"/>
      <c r="C139" s="12"/>
      <c r="D139" s="10"/>
      <c r="E139" s="10"/>
      <c r="F139" s="10"/>
      <c r="G139" s="14" t="str">
        <f aca="false">IF(OR(C139="",F139=""),"",C139+IF(F139="紧急",0,IF(F139="优先",3,14)))</f>
        <v/>
      </c>
      <c r="H139" s="10"/>
      <c r="I139" s="10"/>
      <c r="J139" s="11"/>
      <c r="K139" s="12"/>
      <c r="L139" s="12"/>
      <c r="M139" s="12"/>
      <c r="N139" s="10"/>
      <c r="O139" s="10"/>
      <c r="P139" s="11"/>
      <c r="Q139" s="10"/>
    </row>
    <row r="140" customFormat="false" ht="15" hidden="false" customHeight="false" outlineLevel="0" collapsed="false">
      <c r="A140" s="10"/>
      <c r="B140" s="10"/>
      <c r="C140" s="12"/>
      <c r="D140" s="10"/>
      <c r="E140" s="10"/>
      <c r="F140" s="10"/>
      <c r="G140" s="14" t="str">
        <f aca="false">IF(OR(C140="",F140=""),"",C140+IF(F140="紧急",0,IF(F140="优先",3,14)))</f>
        <v/>
      </c>
      <c r="H140" s="10"/>
      <c r="I140" s="10"/>
      <c r="J140" s="11"/>
      <c r="K140" s="12"/>
      <c r="L140" s="12"/>
      <c r="M140" s="12"/>
      <c r="N140" s="10"/>
      <c r="O140" s="10"/>
      <c r="P140" s="11"/>
      <c r="Q140" s="10"/>
    </row>
    <row r="141" customFormat="false" ht="15" hidden="false" customHeight="false" outlineLevel="0" collapsed="false">
      <c r="A141" s="10"/>
      <c r="B141" s="10"/>
      <c r="C141" s="12"/>
      <c r="D141" s="10"/>
      <c r="E141" s="10"/>
      <c r="F141" s="10"/>
      <c r="G141" s="14" t="str">
        <f aca="false">IF(OR(C141="",F141=""),"",C141+IF(F141="紧急",0,IF(F141="优先",3,14)))</f>
        <v/>
      </c>
      <c r="H141" s="10"/>
      <c r="I141" s="10"/>
      <c r="J141" s="11"/>
      <c r="K141" s="12"/>
      <c r="L141" s="12"/>
      <c r="M141" s="12"/>
      <c r="N141" s="10"/>
      <c r="O141" s="10"/>
      <c r="P141" s="11"/>
      <c r="Q141" s="10"/>
    </row>
    <row r="142" customFormat="false" ht="15" hidden="false" customHeight="false" outlineLevel="0" collapsed="false">
      <c r="A142" s="10"/>
      <c r="B142" s="10"/>
      <c r="C142" s="12"/>
      <c r="D142" s="10"/>
      <c r="E142" s="10"/>
      <c r="F142" s="10"/>
      <c r="G142" s="14" t="str">
        <f aca="false">IF(OR(C142="",F142=""),"",C142+IF(F142="紧急",0,IF(F142="优先",3,14)))</f>
        <v/>
      </c>
      <c r="H142" s="10"/>
      <c r="I142" s="10"/>
      <c r="J142" s="11"/>
      <c r="K142" s="12"/>
      <c r="L142" s="12"/>
      <c r="M142" s="12"/>
      <c r="N142" s="10"/>
      <c r="O142" s="10"/>
      <c r="P142" s="11"/>
      <c r="Q142" s="10"/>
    </row>
    <row r="143" customFormat="false" ht="15" hidden="false" customHeight="false" outlineLevel="0" collapsed="false">
      <c r="A143" s="10"/>
      <c r="B143" s="10"/>
      <c r="C143" s="12"/>
      <c r="D143" s="10"/>
      <c r="E143" s="10"/>
      <c r="F143" s="10"/>
      <c r="G143" s="14" t="str">
        <f aca="false">IF(OR(C143="",F143=""),"",C143+IF(F143="紧急",0,IF(F143="优先",3,14)))</f>
        <v/>
      </c>
      <c r="H143" s="10"/>
      <c r="I143" s="10"/>
      <c r="J143" s="11"/>
      <c r="K143" s="12"/>
      <c r="L143" s="12"/>
      <c r="M143" s="12"/>
      <c r="N143" s="10"/>
      <c r="O143" s="10"/>
      <c r="P143" s="11"/>
      <c r="Q143" s="10"/>
    </row>
    <row r="144" customFormat="false" ht="15" hidden="false" customHeight="false" outlineLevel="0" collapsed="false">
      <c r="A144" s="10"/>
      <c r="B144" s="10"/>
      <c r="C144" s="12"/>
      <c r="D144" s="10"/>
      <c r="E144" s="10"/>
      <c r="F144" s="10"/>
      <c r="G144" s="14" t="str">
        <f aca="false">IF(OR(C144="",F144=""),"",C144+IF(F144="紧急",0,IF(F144="优先",3,14)))</f>
        <v/>
      </c>
      <c r="H144" s="10"/>
      <c r="I144" s="10"/>
      <c r="J144" s="11"/>
      <c r="K144" s="12"/>
      <c r="L144" s="12"/>
      <c r="M144" s="12"/>
      <c r="N144" s="10"/>
      <c r="O144" s="10"/>
      <c r="P144" s="11"/>
      <c r="Q144" s="10"/>
    </row>
    <row r="145" customFormat="false" ht="15" hidden="false" customHeight="false" outlineLevel="0" collapsed="false">
      <c r="A145" s="10"/>
      <c r="B145" s="10"/>
      <c r="C145" s="12"/>
      <c r="D145" s="10"/>
      <c r="E145" s="10"/>
      <c r="F145" s="10"/>
      <c r="G145" s="14" t="str">
        <f aca="false">IF(OR(C145="",F145=""),"",C145+IF(F145="紧急",0,IF(F145="优先",3,14)))</f>
        <v/>
      </c>
      <c r="H145" s="10"/>
      <c r="I145" s="10"/>
      <c r="J145" s="11"/>
      <c r="K145" s="12"/>
      <c r="L145" s="12"/>
      <c r="M145" s="12"/>
      <c r="N145" s="10"/>
      <c r="O145" s="10"/>
      <c r="P145" s="11"/>
      <c r="Q145" s="10"/>
    </row>
    <row r="146" customFormat="false" ht="15" hidden="false" customHeight="false" outlineLevel="0" collapsed="false">
      <c r="A146" s="10"/>
      <c r="B146" s="10"/>
      <c r="C146" s="12"/>
      <c r="D146" s="10"/>
      <c r="E146" s="10"/>
      <c r="F146" s="10"/>
      <c r="G146" s="14" t="str">
        <f aca="false">IF(OR(C146="",F146=""),"",C146+IF(F146="紧急",0,IF(F146="优先",3,14)))</f>
        <v/>
      </c>
      <c r="H146" s="10"/>
      <c r="I146" s="10"/>
      <c r="J146" s="11"/>
      <c r="K146" s="12"/>
      <c r="L146" s="12"/>
      <c r="M146" s="12"/>
      <c r="N146" s="10"/>
      <c r="O146" s="10"/>
      <c r="P146" s="11"/>
      <c r="Q146" s="10"/>
    </row>
    <row r="147" customFormat="false" ht="15" hidden="false" customHeight="false" outlineLevel="0" collapsed="false">
      <c r="A147" s="10"/>
      <c r="B147" s="10"/>
      <c r="C147" s="12"/>
      <c r="D147" s="10"/>
      <c r="E147" s="10"/>
      <c r="F147" s="10"/>
      <c r="G147" s="14" t="str">
        <f aca="false">IF(OR(C147="",F147=""),"",C147+IF(F147="紧急",0,IF(F147="优先",3,14)))</f>
        <v/>
      </c>
      <c r="H147" s="10"/>
      <c r="I147" s="10"/>
      <c r="J147" s="11"/>
      <c r="K147" s="12"/>
      <c r="L147" s="12"/>
      <c r="M147" s="12"/>
      <c r="N147" s="10"/>
      <c r="O147" s="10"/>
      <c r="P147" s="11"/>
      <c r="Q147" s="10"/>
    </row>
    <row r="148" customFormat="false" ht="15" hidden="false" customHeight="false" outlineLevel="0" collapsed="false">
      <c r="A148" s="10"/>
      <c r="B148" s="10"/>
      <c r="C148" s="12"/>
      <c r="D148" s="10"/>
      <c r="E148" s="10"/>
      <c r="F148" s="10"/>
      <c r="G148" s="14" t="str">
        <f aca="false">IF(OR(C148="",F148=""),"",C148+IF(F148="紧急",0,IF(F148="优先",3,14)))</f>
        <v/>
      </c>
      <c r="H148" s="10"/>
      <c r="I148" s="10"/>
      <c r="J148" s="11"/>
      <c r="K148" s="12"/>
      <c r="L148" s="12"/>
      <c r="M148" s="12"/>
      <c r="N148" s="10"/>
      <c r="O148" s="10"/>
      <c r="P148" s="11"/>
      <c r="Q148" s="10"/>
    </row>
    <row r="149" customFormat="false" ht="15" hidden="false" customHeight="false" outlineLevel="0" collapsed="false">
      <c r="A149" s="10"/>
      <c r="B149" s="10"/>
      <c r="C149" s="12"/>
      <c r="D149" s="10"/>
      <c r="E149" s="10"/>
      <c r="F149" s="10"/>
      <c r="G149" s="14" t="str">
        <f aca="false">IF(OR(C149="",F149=""),"",C149+IF(F149="紧急",0,IF(F149="优先",3,14)))</f>
        <v/>
      </c>
      <c r="H149" s="10"/>
      <c r="I149" s="10"/>
      <c r="J149" s="11"/>
      <c r="K149" s="12"/>
      <c r="L149" s="12"/>
      <c r="M149" s="12"/>
      <c r="N149" s="10"/>
      <c r="O149" s="10"/>
      <c r="P149" s="11"/>
      <c r="Q149" s="10"/>
    </row>
    <row r="150" customFormat="false" ht="15" hidden="false" customHeight="false" outlineLevel="0" collapsed="false">
      <c r="A150" s="10"/>
      <c r="B150" s="10"/>
      <c r="C150" s="12"/>
      <c r="D150" s="10"/>
      <c r="E150" s="10"/>
      <c r="F150" s="10"/>
      <c r="G150" s="14" t="str">
        <f aca="false">IF(OR(C150="",F150=""),"",C150+IF(F150="紧急",0,IF(F150="优先",3,14)))</f>
        <v/>
      </c>
      <c r="H150" s="10"/>
      <c r="I150" s="10"/>
      <c r="J150" s="11"/>
      <c r="K150" s="12"/>
      <c r="L150" s="12"/>
      <c r="M150" s="12"/>
      <c r="N150" s="10"/>
      <c r="O150" s="10"/>
      <c r="P150" s="11"/>
      <c r="Q150" s="10"/>
    </row>
    <row r="151" customFormat="false" ht="15" hidden="false" customHeight="false" outlineLevel="0" collapsed="false">
      <c r="A151" s="10"/>
      <c r="B151" s="10"/>
      <c r="C151" s="12"/>
      <c r="D151" s="10"/>
      <c r="E151" s="10"/>
      <c r="F151" s="10"/>
      <c r="G151" s="14" t="str">
        <f aca="false">IF(OR(C151="",F151=""),"",C151+IF(F151="紧急",0,IF(F151="优先",3,14)))</f>
        <v/>
      </c>
      <c r="H151" s="10"/>
      <c r="I151" s="10"/>
      <c r="J151" s="11"/>
      <c r="K151" s="12"/>
      <c r="L151" s="12"/>
      <c r="M151" s="12"/>
      <c r="N151" s="10"/>
      <c r="O151" s="10"/>
      <c r="P151" s="11"/>
      <c r="Q151" s="10"/>
    </row>
    <row r="152" customFormat="false" ht="15" hidden="false" customHeight="false" outlineLevel="0" collapsed="false">
      <c r="A152" s="10"/>
      <c r="B152" s="10"/>
      <c r="C152" s="12"/>
      <c r="D152" s="10"/>
      <c r="E152" s="10"/>
      <c r="F152" s="10"/>
      <c r="G152" s="14" t="str">
        <f aca="false">IF(OR(C152="",F152=""),"",C152+IF(F152="紧急",0,IF(F152="优先",3,14)))</f>
        <v/>
      </c>
      <c r="H152" s="10"/>
      <c r="I152" s="10"/>
      <c r="J152" s="11"/>
      <c r="K152" s="12"/>
      <c r="L152" s="12"/>
      <c r="M152" s="12"/>
      <c r="N152" s="10"/>
      <c r="O152" s="10"/>
      <c r="P152" s="11"/>
      <c r="Q152" s="10"/>
    </row>
    <row r="153" customFormat="false" ht="15" hidden="false" customHeight="false" outlineLevel="0" collapsed="false">
      <c r="A153" s="10"/>
      <c r="B153" s="10"/>
      <c r="C153" s="12"/>
      <c r="D153" s="10"/>
      <c r="E153" s="10"/>
      <c r="F153" s="10"/>
      <c r="G153" s="14" t="str">
        <f aca="false">IF(OR(C153="",F153=""),"",C153+IF(F153="紧急",0,IF(F153="优先",3,14)))</f>
        <v/>
      </c>
      <c r="H153" s="10"/>
      <c r="I153" s="10"/>
      <c r="J153" s="11"/>
      <c r="K153" s="12"/>
      <c r="L153" s="12"/>
      <c r="M153" s="12"/>
      <c r="N153" s="10"/>
      <c r="O153" s="10"/>
      <c r="P153" s="11"/>
      <c r="Q153" s="10"/>
    </row>
    <row r="154" customFormat="false" ht="15" hidden="false" customHeight="false" outlineLevel="0" collapsed="false">
      <c r="A154" s="10"/>
      <c r="B154" s="10"/>
      <c r="C154" s="12"/>
      <c r="D154" s="10"/>
      <c r="E154" s="10"/>
      <c r="F154" s="10"/>
      <c r="G154" s="14" t="str">
        <f aca="false">IF(OR(C154="",F154=""),"",C154+IF(F154="紧急",0,IF(F154="优先",3,14)))</f>
        <v/>
      </c>
      <c r="H154" s="10"/>
      <c r="I154" s="10"/>
      <c r="J154" s="11"/>
      <c r="K154" s="12"/>
      <c r="L154" s="12"/>
      <c r="M154" s="12"/>
      <c r="N154" s="10"/>
      <c r="O154" s="10"/>
      <c r="P154" s="11"/>
      <c r="Q154" s="10"/>
    </row>
    <row r="155" customFormat="false" ht="15" hidden="false" customHeight="false" outlineLevel="0" collapsed="false">
      <c r="A155" s="10"/>
      <c r="B155" s="10"/>
      <c r="C155" s="12"/>
      <c r="D155" s="10"/>
      <c r="E155" s="10"/>
      <c r="F155" s="10"/>
      <c r="G155" s="14" t="str">
        <f aca="false">IF(OR(C155="",F155=""),"",C155+IF(F155="紧急",0,IF(F155="优先",3,14)))</f>
        <v/>
      </c>
      <c r="H155" s="10"/>
      <c r="I155" s="10"/>
      <c r="J155" s="11"/>
      <c r="K155" s="12"/>
      <c r="L155" s="12"/>
      <c r="M155" s="12"/>
      <c r="N155" s="10"/>
      <c r="O155" s="10"/>
      <c r="P155" s="11"/>
      <c r="Q155" s="10"/>
    </row>
    <row r="156" customFormat="false" ht="15" hidden="false" customHeight="false" outlineLevel="0" collapsed="false">
      <c r="A156" s="10"/>
      <c r="B156" s="10"/>
      <c r="C156" s="12"/>
      <c r="D156" s="10"/>
      <c r="E156" s="10"/>
      <c r="F156" s="10"/>
      <c r="G156" s="14" t="str">
        <f aca="false">IF(OR(C156="",F156=""),"",C156+IF(F156="紧急",0,IF(F156="优先",3,14)))</f>
        <v/>
      </c>
      <c r="H156" s="10"/>
      <c r="I156" s="10"/>
      <c r="J156" s="11"/>
      <c r="K156" s="12"/>
      <c r="L156" s="12"/>
      <c r="M156" s="12"/>
      <c r="N156" s="10"/>
      <c r="O156" s="10"/>
      <c r="P156" s="11"/>
      <c r="Q156" s="10"/>
    </row>
    <row r="157" customFormat="false" ht="15" hidden="false" customHeight="false" outlineLevel="0" collapsed="false">
      <c r="A157" s="10"/>
      <c r="B157" s="10"/>
      <c r="C157" s="12"/>
      <c r="D157" s="10"/>
      <c r="E157" s="10"/>
      <c r="F157" s="10"/>
      <c r="G157" s="14" t="str">
        <f aca="false">IF(OR(C157="",F157=""),"",C157+IF(F157="紧急",0,IF(F157="优先",3,14)))</f>
        <v/>
      </c>
      <c r="H157" s="10"/>
      <c r="I157" s="10"/>
      <c r="J157" s="11"/>
      <c r="K157" s="12"/>
      <c r="L157" s="12"/>
      <c r="M157" s="12"/>
      <c r="N157" s="10"/>
      <c r="O157" s="10"/>
      <c r="P157" s="11"/>
      <c r="Q157" s="10"/>
    </row>
    <row r="158" customFormat="false" ht="15" hidden="false" customHeight="false" outlineLevel="0" collapsed="false">
      <c r="A158" s="10"/>
      <c r="B158" s="10"/>
      <c r="C158" s="12"/>
      <c r="D158" s="10"/>
      <c r="E158" s="10"/>
      <c r="F158" s="10"/>
      <c r="G158" s="14" t="str">
        <f aca="false">IF(OR(C158="",F158=""),"",C158+IF(F158="紧急",0,IF(F158="优先",3,14)))</f>
        <v/>
      </c>
      <c r="H158" s="10"/>
      <c r="I158" s="10"/>
      <c r="J158" s="11"/>
      <c r="K158" s="12"/>
      <c r="L158" s="12"/>
      <c r="M158" s="12"/>
      <c r="N158" s="10"/>
      <c r="O158" s="10"/>
      <c r="P158" s="11"/>
      <c r="Q158" s="10"/>
    </row>
    <row r="159" customFormat="false" ht="15" hidden="false" customHeight="false" outlineLevel="0" collapsed="false">
      <c r="A159" s="10"/>
      <c r="B159" s="10"/>
      <c r="C159" s="12"/>
      <c r="D159" s="10"/>
      <c r="E159" s="10"/>
      <c r="F159" s="10"/>
      <c r="G159" s="14" t="str">
        <f aca="false">IF(OR(C159="",F159=""),"",C159+IF(F159="紧急",0,IF(F159="优先",3,14)))</f>
        <v/>
      </c>
      <c r="H159" s="10"/>
      <c r="I159" s="10"/>
      <c r="J159" s="11"/>
      <c r="K159" s="12"/>
      <c r="L159" s="12"/>
      <c r="M159" s="12"/>
      <c r="N159" s="10"/>
      <c r="O159" s="10"/>
      <c r="P159" s="11"/>
      <c r="Q159" s="10"/>
    </row>
    <row r="160" customFormat="false" ht="15" hidden="false" customHeight="false" outlineLevel="0" collapsed="false">
      <c r="A160" s="10"/>
      <c r="B160" s="10"/>
      <c r="C160" s="12"/>
      <c r="D160" s="10"/>
      <c r="E160" s="10"/>
      <c r="F160" s="10"/>
      <c r="G160" s="14" t="str">
        <f aca="false">IF(OR(C160="",F160=""),"",C160+IF(F160="紧急",0,IF(F160="优先",3,14)))</f>
        <v/>
      </c>
      <c r="H160" s="10"/>
      <c r="I160" s="10"/>
      <c r="J160" s="11"/>
      <c r="K160" s="12"/>
      <c r="L160" s="12"/>
      <c r="M160" s="12"/>
      <c r="N160" s="10"/>
      <c r="O160" s="10"/>
      <c r="P160" s="11"/>
      <c r="Q160" s="10"/>
    </row>
    <row r="161" customFormat="false" ht="15" hidden="false" customHeight="false" outlineLevel="0" collapsed="false">
      <c r="A161" s="10"/>
      <c r="B161" s="10"/>
      <c r="C161" s="12"/>
      <c r="D161" s="10"/>
      <c r="E161" s="10"/>
      <c r="F161" s="10"/>
      <c r="G161" s="14" t="str">
        <f aca="false">IF(OR(C161="",F161=""),"",C161+IF(F161="紧急",0,IF(F161="优先",3,14)))</f>
        <v/>
      </c>
      <c r="H161" s="10"/>
      <c r="I161" s="10"/>
      <c r="J161" s="11"/>
      <c r="K161" s="12"/>
      <c r="L161" s="12"/>
      <c r="M161" s="12"/>
      <c r="N161" s="10"/>
      <c r="O161" s="10"/>
      <c r="P161" s="11"/>
      <c r="Q161" s="10"/>
    </row>
    <row r="162" customFormat="false" ht="15" hidden="false" customHeight="false" outlineLevel="0" collapsed="false">
      <c r="A162" s="10"/>
      <c r="B162" s="10"/>
      <c r="C162" s="12"/>
      <c r="D162" s="10"/>
      <c r="E162" s="10"/>
      <c r="F162" s="10"/>
      <c r="G162" s="14" t="str">
        <f aca="false">IF(OR(C162="",F162=""),"",C162+IF(F162="紧急",0,IF(F162="优先",3,14)))</f>
        <v/>
      </c>
      <c r="H162" s="10"/>
      <c r="I162" s="10"/>
      <c r="J162" s="11"/>
      <c r="K162" s="12"/>
      <c r="L162" s="12"/>
      <c r="M162" s="12"/>
      <c r="N162" s="10"/>
      <c r="O162" s="10"/>
      <c r="P162" s="11"/>
      <c r="Q162" s="10"/>
    </row>
    <row r="163" customFormat="false" ht="15" hidden="false" customHeight="false" outlineLevel="0" collapsed="false">
      <c r="A163" s="10"/>
      <c r="B163" s="10"/>
      <c r="C163" s="12"/>
      <c r="D163" s="10"/>
      <c r="E163" s="10"/>
      <c r="F163" s="10"/>
      <c r="G163" s="14" t="str">
        <f aca="false">IF(OR(C163="",F163=""),"",C163+IF(F163="紧急",0,IF(F163="优先",3,14)))</f>
        <v/>
      </c>
      <c r="H163" s="10"/>
      <c r="I163" s="10"/>
      <c r="J163" s="11"/>
      <c r="K163" s="12"/>
      <c r="L163" s="12"/>
      <c r="M163" s="12"/>
      <c r="N163" s="10"/>
      <c r="O163" s="10"/>
      <c r="P163" s="11"/>
      <c r="Q163" s="10"/>
    </row>
    <row r="164" customFormat="false" ht="15" hidden="false" customHeight="false" outlineLevel="0" collapsed="false">
      <c r="A164" s="10"/>
      <c r="B164" s="10"/>
      <c r="C164" s="12"/>
      <c r="D164" s="10"/>
      <c r="E164" s="10"/>
      <c r="F164" s="10"/>
      <c r="G164" s="14" t="str">
        <f aca="false">IF(OR(C164="",F164=""),"",C164+IF(F164="紧急",0,IF(F164="优先",3,14)))</f>
        <v/>
      </c>
      <c r="H164" s="10"/>
      <c r="I164" s="10"/>
      <c r="J164" s="11"/>
      <c r="K164" s="12"/>
      <c r="L164" s="12"/>
      <c r="M164" s="12"/>
      <c r="N164" s="10"/>
      <c r="O164" s="10"/>
      <c r="P164" s="11"/>
      <c r="Q164" s="10"/>
    </row>
    <row r="165" customFormat="false" ht="15" hidden="false" customHeight="false" outlineLevel="0" collapsed="false">
      <c r="A165" s="10"/>
      <c r="B165" s="10"/>
      <c r="C165" s="12"/>
      <c r="D165" s="10"/>
      <c r="E165" s="10"/>
      <c r="F165" s="10"/>
      <c r="G165" s="14" t="str">
        <f aca="false">IF(OR(C165="",F165=""),"",C165+IF(F165="紧急",0,IF(F165="优先",3,14)))</f>
        <v/>
      </c>
      <c r="H165" s="10"/>
      <c r="I165" s="10"/>
      <c r="J165" s="11"/>
      <c r="K165" s="12"/>
      <c r="L165" s="12"/>
      <c r="M165" s="12"/>
      <c r="N165" s="10"/>
      <c r="O165" s="10"/>
      <c r="P165" s="11"/>
      <c r="Q165" s="10"/>
    </row>
    <row r="166" customFormat="false" ht="15" hidden="false" customHeight="false" outlineLevel="0" collapsed="false">
      <c r="A166" s="10"/>
      <c r="B166" s="10"/>
      <c r="C166" s="12"/>
      <c r="D166" s="10"/>
      <c r="E166" s="10"/>
      <c r="F166" s="10"/>
      <c r="G166" s="14" t="str">
        <f aca="false">IF(OR(C166="",F166=""),"",C166+IF(F166="紧急",0,IF(F166="优先",3,14)))</f>
        <v/>
      </c>
      <c r="H166" s="10"/>
      <c r="I166" s="10"/>
      <c r="J166" s="11"/>
      <c r="K166" s="12"/>
      <c r="L166" s="12"/>
      <c r="M166" s="12"/>
      <c r="N166" s="10"/>
      <c r="O166" s="10"/>
      <c r="P166" s="11"/>
      <c r="Q166" s="10"/>
    </row>
    <row r="167" customFormat="false" ht="15" hidden="false" customHeight="false" outlineLevel="0" collapsed="false">
      <c r="A167" s="10"/>
      <c r="B167" s="10"/>
      <c r="C167" s="12"/>
      <c r="D167" s="10"/>
      <c r="E167" s="10"/>
      <c r="F167" s="10"/>
      <c r="G167" s="14" t="str">
        <f aca="false">IF(OR(C167="",F167=""),"",C167+IF(F167="紧急",0,IF(F167="优先",3,14)))</f>
        <v/>
      </c>
      <c r="H167" s="10"/>
      <c r="I167" s="10"/>
      <c r="J167" s="11"/>
      <c r="K167" s="12"/>
      <c r="L167" s="12"/>
      <c r="M167" s="12"/>
      <c r="N167" s="10"/>
      <c r="O167" s="10"/>
      <c r="P167" s="11"/>
      <c r="Q167" s="10"/>
    </row>
    <row r="168" customFormat="false" ht="15" hidden="false" customHeight="false" outlineLevel="0" collapsed="false">
      <c r="A168" s="10"/>
      <c r="B168" s="10"/>
      <c r="C168" s="12"/>
      <c r="D168" s="10"/>
      <c r="E168" s="10"/>
      <c r="F168" s="10"/>
      <c r="G168" s="14" t="str">
        <f aca="false">IF(OR(C168="",F168=""),"",C168+IF(F168="紧急",0,IF(F168="优先",3,14)))</f>
        <v/>
      </c>
      <c r="H168" s="10"/>
      <c r="I168" s="10"/>
      <c r="J168" s="11"/>
      <c r="K168" s="12"/>
      <c r="L168" s="12"/>
      <c r="M168" s="12"/>
      <c r="N168" s="10"/>
      <c r="O168" s="10"/>
      <c r="P168" s="11"/>
      <c r="Q168" s="10"/>
    </row>
    <row r="169" customFormat="false" ht="15" hidden="false" customHeight="false" outlineLevel="0" collapsed="false">
      <c r="A169" s="10"/>
      <c r="B169" s="10"/>
      <c r="C169" s="12"/>
      <c r="D169" s="10"/>
      <c r="E169" s="10"/>
      <c r="F169" s="10"/>
      <c r="G169" s="14" t="str">
        <f aca="false">IF(OR(C169="",F169=""),"",C169+IF(F169="紧急",0,IF(F169="优先",3,14)))</f>
        <v/>
      </c>
      <c r="H169" s="10"/>
      <c r="I169" s="10"/>
      <c r="J169" s="11"/>
      <c r="K169" s="12"/>
      <c r="L169" s="12"/>
      <c r="M169" s="12"/>
      <c r="N169" s="10"/>
      <c r="O169" s="10"/>
      <c r="P169" s="11"/>
      <c r="Q169" s="10"/>
    </row>
    <row r="170" customFormat="false" ht="15" hidden="false" customHeight="false" outlineLevel="0" collapsed="false">
      <c r="A170" s="10"/>
      <c r="B170" s="10"/>
      <c r="C170" s="12"/>
      <c r="D170" s="10"/>
      <c r="E170" s="10"/>
      <c r="F170" s="10"/>
      <c r="G170" s="14" t="str">
        <f aca="false">IF(OR(C170="",F170=""),"",C170+IF(F170="紧急",0,IF(F170="优先",3,14)))</f>
        <v/>
      </c>
      <c r="H170" s="10"/>
      <c r="I170" s="10"/>
      <c r="J170" s="11"/>
      <c r="K170" s="12"/>
      <c r="L170" s="12"/>
      <c r="M170" s="12"/>
      <c r="N170" s="10"/>
      <c r="O170" s="10"/>
      <c r="P170" s="11"/>
      <c r="Q170" s="10"/>
    </row>
    <row r="171" customFormat="false" ht="15" hidden="false" customHeight="false" outlineLevel="0" collapsed="false">
      <c r="A171" s="10"/>
      <c r="B171" s="10"/>
      <c r="C171" s="12"/>
      <c r="D171" s="10"/>
      <c r="E171" s="10"/>
      <c r="F171" s="10"/>
      <c r="G171" s="14" t="str">
        <f aca="false">IF(OR(C171="",F171=""),"",C171+IF(F171="紧急",0,IF(F171="优先",3,14)))</f>
        <v/>
      </c>
      <c r="H171" s="10"/>
      <c r="I171" s="10"/>
      <c r="J171" s="11"/>
      <c r="K171" s="12"/>
      <c r="L171" s="12"/>
      <c r="M171" s="12"/>
      <c r="N171" s="10"/>
      <c r="O171" s="10"/>
      <c r="P171" s="11"/>
      <c r="Q171" s="10"/>
    </row>
    <row r="172" customFormat="false" ht="15" hidden="false" customHeight="false" outlineLevel="0" collapsed="false">
      <c r="A172" s="10"/>
      <c r="B172" s="10"/>
      <c r="C172" s="12"/>
      <c r="D172" s="10"/>
      <c r="E172" s="10"/>
      <c r="F172" s="10"/>
      <c r="G172" s="14" t="str">
        <f aca="false">IF(OR(C172="",F172=""),"",C172+IF(F172="紧急",0,IF(F172="优先",3,14)))</f>
        <v/>
      </c>
      <c r="H172" s="10"/>
      <c r="I172" s="10"/>
      <c r="J172" s="11"/>
      <c r="K172" s="12"/>
      <c r="L172" s="12"/>
      <c r="M172" s="12"/>
      <c r="N172" s="10"/>
      <c r="O172" s="10"/>
      <c r="P172" s="11"/>
      <c r="Q172" s="10"/>
    </row>
    <row r="173" customFormat="false" ht="15" hidden="false" customHeight="false" outlineLevel="0" collapsed="false">
      <c r="A173" s="10"/>
      <c r="B173" s="10"/>
      <c r="C173" s="12"/>
      <c r="D173" s="10"/>
      <c r="E173" s="10"/>
      <c r="F173" s="10"/>
      <c r="G173" s="14" t="str">
        <f aca="false">IF(OR(C173="",F173=""),"",C173+IF(F173="紧急",0,IF(F173="优先",3,14)))</f>
        <v/>
      </c>
      <c r="H173" s="10"/>
      <c r="I173" s="10"/>
      <c r="J173" s="11"/>
      <c r="K173" s="12"/>
      <c r="L173" s="12"/>
      <c r="M173" s="12"/>
      <c r="N173" s="10"/>
      <c r="O173" s="10"/>
      <c r="P173" s="11"/>
      <c r="Q173" s="10"/>
    </row>
    <row r="174" customFormat="false" ht="15" hidden="false" customHeight="false" outlineLevel="0" collapsed="false">
      <c r="A174" s="10"/>
      <c r="B174" s="10"/>
      <c r="C174" s="12"/>
      <c r="D174" s="10"/>
      <c r="E174" s="10"/>
      <c r="F174" s="10"/>
      <c r="G174" s="14" t="str">
        <f aca="false">IF(OR(C174="",F174=""),"",C174+IF(F174="紧急",0,IF(F174="优先",3,14)))</f>
        <v/>
      </c>
      <c r="H174" s="10"/>
      <c r="I174" s="10"/>
      <c r="J174" s="11"/>
      <c r="K174" s="12"/>
      <c r="L174" s="12"/>
      <c r="M174" s="12"/>
      <c r="N174" s="10"/>
      <c r="O174" s="10"/>
      <c r="P174" s="11"/>
      <c r="Q174" s="10"/>
    </row>
    <row r="175" customFormat="false" ht="15" hidden="false" customHeight="false" outlineLevel="0" collapsed="false">
      <c r="A175" s="10"/>
      <c r="B175" s="10"/>
      <c r="C175" s="12"/>
      <c r="D175" s="10"/>
      <c r="E175" s="10"/>
      <c r="F175" s="10"/>
      <c r="G175" s="14" t="str">
        <f aca="false">IF(OR(C175="",F175=""),"",C175+IF(F175="紧急",0,IF(F175="优先",3,14)))</f>
        <v/>
      </c>
      <c r="H175" s="10"/>
      <c r="I175" s="10"/>
      <c r="J175" s="11"/>
      <c r="K175" s="12"/>
      <c r="L175" s="12"/>
      <c r="M175" s="12"/>
      <c r="N175" s="10"/>
      <c r="O175" s="10"/>
      <c r="P175" s="11"/>
      <c r="Q175" s="10"/>
    </row>
    <row r="176" customFormat="false" ht="15" hidden="false" customHeight="false" outlineLevel="0" collapsed="false">
      <c r="A176" s="10"/>
      <c r="B176" s="10"/>
      <c r="C176" s="12"/>
      <c r="D176" s="10"/>
      <c r="E176" s="10"/>
      <c r="F176" s="10"/>
      <c r="G176" s="14" t="str">
        <f aca="false">IF(OR(C176="",F176=""),"",C176+IF(F176="紧急",0,IF(F176="优先",3,14)))</f>
        <v/>
      </c>
      <c r="H176" s="10"/>
      <c r="I176" s="10"/>
      <c r="J176" s="11"/>
      <c r="K176" s="12"/>
      <c r="L176" s="12"/>
      <c r="M176" s="12"/>
      <c r="N176" s="10"/>
      <c r="O176" s="10"/>
      <c r="P176" s="11"/>
      <c r="Q176" s="10"/>
    </row>
    <row r="177" customFormat="false" ht="15" hidden="false" customHeight="false" outlineLevel="0" collapsed="false">
      <c r="A177" s="10"/>
      <c r="B177" s="10"/>
      <c r="C177" s="12"/>
      <c r="D177" s="10"/>
      <c r="E177" s="10"/>
      <c r="F177" s="10"/>
      <c r="G177" s="14" t="str">
        <f aca="false">IF(OR(C177="",F177=""),"",C177+IF(F177="紧急",0,IF(F177="优先",3,14)))</f>
        <v/>
      </c>
      <c r="H177" s="10"/>
      <c r="I177" s="10"/>
      <c r="J177" s="11"/>
      <c r="K177" s="12"/>
      <c r="L177" s="12"/>
      <c r="M177" s="12"/>
      <c r="N177" s="10"/>
      <c r="O177" s="10"/>
      <c r="P177" s="11"/>
      <c r="Q177" s="10"/>
    </row>
    <row r="178" customFormat="false" ht="15" hidden="false" customHeight="false" outlineLevel="0" collapsed="false">
      <c r="A178" s="10"/>
      <c r="B178" s="10"/>
      <c r="C178" s="12"/>
      <c r="D178" s="10"/>
      <c r="E178" s="10"/>
      <c r="F178" s="10"/>
      <c r="G178" s="14" t="str">
        <f aca="false">IF(OR(C178="",F178=""),"",C178+IF(F178="紧急",0,IF(F178="优先",3,14)))</f>
        <v/>
      </c>
      <c r="H178" s="10"/>
      <c r="I178" s="10"/>
      <c r="J178" s="11"/>
      <c r="K178" s="12"/>
      <c r="L178" s="12"/>
      <c r="M178" s="12"/>
      <c r="N178" s="10"/>
      <c r="O178" s="10"/>
      <c r="P178" s="11"/>
      <c r="Q178" s="10"/>
    </row>
    <row r="179" customFormat="false" ht="15" hidden="false" customHeight="false" outlineLevel="0" collapsed="false">
      <c r="A179" s="10"/>
      <c r="B179" s="10"/>
      <c r="C179" s="12"/>
      <c r="D179" s="10"/>
      <c r="E179" s="10"/>
      <c r="F179" s="10"/>
      <c r="G179" s="14" t="str">
        <f aca="false">IF(OR(C179="",F179=""),"",C179+IF(F179="紧急",0,IF(F179="优先",3,14)))</f>
        <v/>
      </c>
      <c r="H179" s="10"/>
      <c r="I179" s="10"/>
      <c r="J179" s="11"/>
      <c r="K179" s="12"/>
      <c r="L179" s="12"/>
      <c r="M179" s="12"/>
      <c r="N179" s="10"/>
      <c r="O179" s="10"/>
      <c r="P179" s="11"/>
      <c r="Q179" s="10"/>
    </row>
    <row r="180" customFormat="false" ht="15" hidden="false" customHeight="false" outlineLevel="0" collapsed="false">
      <c r="A180" s="10"/>
      <c r="B180" s="10"/>
      <c r="C180" s="12"/>
      <c r="D180" s="10"/>
      <c r="E180" s="10"/>
      <c r="F180" s="10"/>
      <c r="G180" s="14" t="str">
        <f aca="false">IF(OR(C180="",F180=""),"",C180+IF(F180="紧急",0,IF(F180="优先",3,14)))</f>
        <v/>
      </c>
      <c r="H180" s="10"/>
      <c r="I180" s="10"/>
      <c r="J180" s="11"/>
      <c r="K180" s="12"/>
      <c r="L180" s="12"/>
      <c r="M180" s="12"/>
      <c r="N180" s="10"/>
      <c r="O180" s="10"/>
      <c r="P180" s="11"/>
      <c r="Q180" s="10"/>
    </row>
    <row r="181" customFormat="false" ht="15" hidden="false" customHeight="false" outlineLevel="0" collapsed="false">
      <c r="A181" s="10"/>
      <c r="B181" s="10"/>
      <c r="C181" s="12"/>
      <c r="D181" s="10"/>
      <c r="E181" s="10"/>
      <c r="F181" s="10"/>
      <c r="G181" s="14" t="str">
        <f aca="false">IF(OR(C181="",F181=""),"",C181+IF(F181="紧急",0,IF(F181="优先",3,14)))</f>
        <v/>
      </c>
      <c r="H181" s="10"/>
      <c r="I181" s="10"/>
      <c r="J181" s="11"/>
      <c r="K181" s="12"/>
      <c r="L181" s="12"/>
      <c r="M181" s="12"/>
      <c r="N181" s="10"/>
      <c r="O181" s="10"/>
      <c r="P181" s="11"/>
      <c r="Q181" s="10"/>
    </row>
    <row r="182" customFormat="false" ht="15" hidden="false" customHeight="false" outlineLevel="0" collapsed="false">
      <c r="A182" s="10"/>
      <c r="B182" s="10"/>
      <c r="C182" s="12"/>
      <c r="D182" s="10"/>
      <c r="E182" s="10"/>
      <c r="F182" s="10"/>
      <c r="G182" s="14" t="str">
        <f aca="false">IF(OR(C182="",F182=""),"",C182+IF(F182="紧急",0,IF(F182="优先",3,14)))</f>
        <v/>
      </c>
      <c r="H182" s="10"/>
      <c r="I182" s="10"/>
      <c r="J182" s="11"/>
      <c r="K182" s="12"/>
      <c r="L182" s="12"/>
      <c r="M182" s="12"/>
      <c r="N182" s="10"/>
      <c r="O182" s="10"/>
      <c r="P182" s="11"/>
      <c r="Q182" s="10"/>
    </row>
    <row r="183" customFormat="false" ht="15" hidden="false" customHeight="false" outlineLevel="0" collapsed="false">
      <c r="A183" s="10"/>
      <c r="B183" s="10"/>
      <c r="C183" s="12"/>
      <c r="D183" s="10"/>
      <c r="E183" s="10"/>
      <c r="F183" s="10"/>
      <c r="G183" s="14" t="str">
        <f aca="false">IF(OR(C183="",F183=""),"",C183+IF(F183="紧急",0,IF(F183="优先",3,14)))</f>
        <v/>
      </c>
      <c r="H183" s="10"/>
      <c r="I183" s="10"/>
      <c r="J183" s="11"/>
      <c r="K183" s="12"/>
      <c r="L183" s="12"/>
      <c r="M183" s="12"/>
      <c r="N183" s="10"/>
      <c r="O183" s="10"/>
      <c r="P183" s="11"/>
      <c r="Q183" s="10"/>
    </row>
    <row r="184" customFormat="false" ht="15" hidden="false" customHeight="false" outlineLevel="0" collapsed="false">
      <c r="A184" s="10"/>
      <c r="B184" s="10"/>
      <c r="C184" s="12"/>
      <c r="D184" s="10"/>
      <c r="E184" s="10"/>
      <c r="F184" s="10"/>
      <c r="G184" s="14" t="str">
        <f aca="false">IF(OR(C184="",F184=""),"",C184+IF(F184="紧急",0,IF(F184="优先",3,14)))</f>
        <v/>
      </c>
      <c r="H184" s="10"/>
      <c r="I184" s="10"/>
      <c r="J184" s="11"/>
      <c r="K184" s="12"/>
      <c r="L184" s="12"/>
      <c r="M184" s="12"/>
      <c r="N184" s="10"/>
      <c r="O184" s="10"/>
      <c r="P184" s="11"/>
      <c r="Q184" s="10"/>
    </row>
    <row r="185" customFormat="false" ht="15" hidden="false" customHeight="false" outlineLevel="0" collapsed="false">
      <c r="A185" s="10"/>
      <c r="B185" s="10"/>
      <c r="C185" s="12"/>
      <c r="D185" s="10"/>
      <c r="E185" s="10"/>
      <c r="F185" s="10"/>
      <c r="G185" s="14" t="str">
        <f aca="false">IF(OR(C185="",F185=""),"",C185+IF(F185="紧急",0,IF(F185="优先",3,14)))</f>
        <v/>
      </c>
      <c r="H185" s="10"/>
      <c r="I185" s="10"/>
      <c r="J185" s="11"/>
      <c r="K185" s="12"/>
      <c r="L185" s="12"/>
      <c r="M185" s="12"/>
      <c r="N185" s="10"/>
      <c r="O185" s="10"/>
      <c r="P185" s="11"/>
      <c r="Q185" s="10"/>
    </row>
    <row r="186" customFormat="false" ht="15" hidden="false" customHeight="false" outlineLevel="0" collapsed="false">
      <c r="A186" s="10"/>
      <c r="B186" s="10"/>
      <c r="C186" s="12"/>
      <c r="D186" s="10"/>
      <c r="E186" s="10"/>
      <c r="F186" s="10"/>
      <c r="G186" s="14" t="str">
        <f aca="false">IF(OR(C186="",F186=""),"",C186+IF(F186="紧急",0,IF(F186="优先",3,14)))</f>
        <v/>
      </c>
      <c r="H186" s="10"/>
      <c r="I186" s="10"/>
      <c r="J186" s="11"/>
      <c r="K186" s="12"/>
      <c r="L186" s="12"/>
      <c r="M186" s="12"/>
      <c r="N186" s="10"/>
      <c r="O186" s="10"/>
      <c r="P186" s="11"/>
      <c r="Q186" s="10"/>
    </row>
    <row r="187" customFormat="false" ht="15" hidden="false" customHeight="false" outlineLevel="0" collapsed="false">
      <c r="A187" s="10"/>
      <c r="B187" s="10"/>
      <c r="C187" s="12"/>
      <c r="D187" s="10"/>
      <c r="E187" s="10"/>
      <c r="F187" s="10"/>
      <c r="G187" s="14" t="str">
        <f aca="false">IF(OR(C187="",F187=""),"",C187+IF(F187="紧急",0,IF(F187="优先",3,14)))</f>
        <v/>
      </c>
      <c r="H187" s="10"/>
      <c r="I187" s="10"/>
      <c r="J187" s="11"/>
      <c r="K187" s="12"/>
      <c r="L187" s="12"/>
      <c r="M187" s="12"/>
      <c r="N187" s="10"/>
      <c r="O187" s="10"/>
      <c r="P187" s="11"/>
      <c r="Q187" s="10"/>
    </row>
    <row r="188" customFormat="false" ht="15" hidden="false" customHeight="false" outlineLevel="0" collapsed="false">
      <c r="A188" s="10"/>
      <c r="B188" s="10"/>
      <c r="C188" s="12"/>
      <c r="D188" s="10"/>
      <c r="E188" s="10"/>
      <c r="F188" s="10"/>
      <c r="G188" s="14" t="str">
        <f aca="false">IF(OR(C188="",F188=""),"",C188+IF(F188="紧急",0,IF(F188="优先",3,14)))</f>
        <v/>
      </c>
      <c r="H188" s="10"/>
      <c r="I188" s="10"/>
      <c r="J188" s="11"/>
      <c r="K188" s="12"/>
      <c r="L188" s="12"/>
      <c r="M188" s="12"/>
      <c r="N188" s="10"/>
      <c r="O188" s="10"/>
      <c r="P188" s="11"/>
      <c r="Q188" s="10"/>
    </row>
    <row r="189" customFormat="false" ht="15" hidden="false" customHeight="false" outlineLevel="0" collapsed="false">
      <c r="A189" s="10"/>
      <c r="B189" s="10"/>
      <c r="C189" s="12"/>
      <c r="D189" s="10"/>
      <c r="E189" s="10"/>
      <c r="F189" s="10"/>
      <c r="G189" s="14" t="str">
        <f aca="false">IF(OR(C189="",F189=""),"",C189+IF(F189="紧急",0,IF(F189="优先",3,14)))</f>
        <v/>
      </c>
      <c r="H189" s="10"/>
      <c r="I189" s="10"/>
      <c r="J189" s="11"/>
      <c r="K189" s="12"/>
      <c r="L189" s="12"/>
      <c r="M189" s="12"/>
      <c r="N189" s="10"/>
      <c r="O189" s="10"/>
      <c r="P189" s="11"/>
      <c r="Q189" s="10"/>
    </row>
    <row r="190" customFormat="false" ht="15" hidden="false" customHeight="false" outlineLevel="0" collapsed="false">
      <c r="A190" s="10"/>
      <c r="B190" s="10"/>
      <c r="C190" s="12"/>
      <c r="D190" s="10"/>
      <c r="E190" s="10"/>
      <c r="F190" s="10"/>
      <c r="G190" s="14" t="str">
        <f aca="false">IF(OR(C190="",F190=""),"",C190+IF(F190="紧急",0,IF(F190="优先",3,14)))</f>
        <v/>
      </c>
      <c r="H190" s="10"/>
      <c r="I190" s="10"/>
      <c r="J190" s="11"/>
      <c r="K190" s="12"/>
      <c r="L190" s="12"/>
      <c r="M190" s="12"/>
      <c r="N190" s="10"/>
      <c r="O190" s="10"/>
      <c r="P190" s="11"/>
      <c r="Q190" s="10"/>
    </row>
    <row r="191" customFormat="false" ht="15" hidden="false" customHeight="false" outlineLevel="0" collapsed="false">
      <c r="A191" s="10"/>
      <c r="B191" s="10"/>
      <c r="C191" s="12"/>
      <c r="D191" s="10"/>
      <c r="E191" s="10"/>
      <c r="F191" s="10"/>
      <c r="G191" s="14" t="str">
        <f aca="false">IF(OR(C191="",F191=""),"",C191+IF(F191="紧急",0,IF(F191="优先",3,14)))</f>
        <v/>
      </c>
      <c r="H191" s="10"/>
      <c r="I191" s="10"/>
      <c r="J191" s="11"/>
      <c r="K191" s="12"/>
      <c r="L191" s="12"/>
      <c r="M191" s="12"/>
      <c r="N191" s="10"/>
      <c r="O191" s="10"/>
      <c r="P191" s="11"/>
      <c r="Q191" s="10"/>
    </row>
    <row r="192" customFormat="false" ht="15" hidden="false" customHeight="false" outlineLevel="0" collapsed="false">
      <c r="A192" s="10"/>
      <c r="B192" s="10"/>
      <c r="C192" s="12"/>
      <c r="D192" s="10"/>
      <c r="E192" s="10"/>
      <c r="F192" s="10"/>
      <c r="G192" s="14" t="str">
        <f aca="false">IF(OR(C192="",F192=""),"",C192+IF(F192="紧急",0,IF(F192="优先",3,14)))</f>
        <v/>
      </c>
      <c r="H192" s="10"/>
      <c r="I192" s="10"/>
      <c r="J192" s="11"/>
      <c r="K192" s="12"/>
      <c r="L192" s="12"/>
      <c r="M192" s="12"/>
      <c r="N192" s="10"/>
      <c r="O192" s="10"/>
      <c r="P192" s="11"/>
      <c r="Q192" s="10"/>
    </row>
    <row r="193" customFormat="false" ht="15" hidden="false" customHeight="false" outlineLevel="0" collapsed="false">
      <c r="A193" s="10"/>
      <c r="B193" s="10"/>
      <c r="C193" s="12"/>
      <c r="D193" s="10"/>
      <c r="E193" s="10"/>
      <c r="F193" s="10"/>
      <c r="G193" s="14" t="str">
        <f aca="false">IF(OR(C193="",F193=""),"",C193+IF(F193="紧急",0,IF(F193="优先",3,14)))</f>
        <v/>
      </c>
      <c r="H193" s="10"/>
      <c r="I193" s="10"/>
      <c r="J193" s="11"/>
      <c r="K193" s="12"/>
      <c r="L193" s="12"/>
      <c r="M193" s="12"/>
      <c r="N193" s="10"/>
      <c r="O193" s="10"/>
      <c r="P193" s="11"/>
      <c r="Q193" s="10"/>
    </row>
    <row r="194" customFormat="false" ht="15" hidden="false" customHeight="false" outlineLevel="0" collapsed="false">
      <c r="A194" s="10"/>
      <c r="B194" s="10"/>
      <c r="C194" s="12"/>
      <c r="D194" s="10"/>
      <c r="E194" s="10"/>
      <c r="F194" s="10"/>
      <c r="G194" s="14" t="str">
        <f aca="false">IF(OR(C194="",F194=""),"",C194+IF(F194="紧急",0,IF(F194="优先",3,14)))</f>
        <v/>
      </c>
      <c r="H194" s="10"/>
      <c r="I194" s="10"/>
      <c r="J194" s="11"/>
      <c r="K194" s="12"/>
      <c r="L194" s="12"/>
      <c r="M194" s="12"/>
      <c r="N194" s="10"/>
      <c r="O194" s="10"/>
      <c r="P194" s="11"/>
      <c r="Q194" s="10"/>
    </row>
    <row r="195" customFormat="false" ht="15" hidden="false" customHeight="false" outlineLevel="0" collapsed="false">
      <c r="A195" s="10"/>
      <c r="B195" s="10"/>
      <c r="C195" s="12"/>
      <c r="D195" s="10"/>
      <c r="E195" s="10"/>
      <c r="F195" s="10"/>
      <c r="G195" s="14" t="str">
        <f aca="false">IF(OR(C195="",F195=""),"",C195+IF(F195="紧急",0,IF(F195="优先",3,14)))</f>
        <v/>
      </c>
      <c r="H195" s="10"/>
      <c r="I195" s="10"/>
      <c r="J195" s="11"/>
      <c r="K195" s="12"/>
      <c r="L195" s="12"/>
      <c r="M195" s="12"/>
      <c r="N195" s="10"/>
      <c r="O195" s="10"/>
      <c r="P195" s="11"/>
      <c r="Q195" s="10"/>
    </row>
    <row r="196" customFormat="false" ht="15" hidden="false" customHeight="false" outlineLevel="0" collapsed="false">
      <c r="A196" s="10"/>
      <c r="B196" s="10"/>
      <c r="C196" s="12"/>
      <c r="D196" s="10"/>
      <c r="E196" s="10"/>
      <c r="F196" s="10"/>
      <c r="G196" s="14" t="str">
        <f aca="false">IF(OR(C196="",F196=""),"",C196+IF(F196="紧急",0,IF(F196="优先",3,14)))</f>
        <v/>
      </c>
      <c r="H196" s="10"/>
      <c r="I196" s="10"/>
      <c r="J196" s="11"/>
      <c r="K196" s="12"/>
      <c r="L196" s="12"/>
      <c r="M196" s="12"/>
      <c r="N196" s="10"/>
      <c r="O196" s="10"/>
      <c r="P196" s="11"/>
      <c r="Q196" s="10"/>
    </row>
    <row r="197" customFormat="false" ht="15" hidden="false" customHeight="false" outlineLevel="0" collapsed="false">
      <c r="A197" s="10"/>
      <c r="B197" s="10"/>
      <c r="C197" s="12"/>
      <c r="D197" s="10"/>
      <c r="E197" s="10"/>
      <c r="F197" s="10"/>
      <c r="G197" s="14" t="str">
        <f aca="false">IF(OR(C197="",F197=""),"",C197+IF(F197="紧急",0,IF(F197="优先",3,14)))</f>
        <v/>
      </c>
      <c r="H197" s="10"/>
      <c r="I197" s="10"/>
      <c r="J197" s="11"/>
      <c r="K197" s="12"/>
      <c r="L197" s="12"/>
      <c r="M197" s="12"/>
      <c r="N197" s="10"/>
      <c r="O197" s="10"/>
      <c r="P197" s="11"/>
      <c r="Q197" s="10"/>
    </row>
    <row r="198" customFormat="false" ht="15" hidden="false" customHeight="false" outlineLevel="0" collapsed="false">
      <c r="A198" s="10"/>
      <c r="B198" s="10"/>
      <c r="C198" s="12"/>
      <c r="D198" s="10"/>
      <c r="E198" s="10"/>
      <c r="F198" s="10"/>
      <c r="G198" s="14" t="str">
        <f aca="false">IF(OR(C198="",F198=""),"",C198+IF(F198="紧急",0,IF(F198="优先",3,14)))</f>
        <v/>
      </c>
      <c r="H198" s="10"/>
      <c r="I198" s="10"/>
      <c r="J198" s="11"/>
      <c r="K198" s="12"/>
      <c r="L198" s="12"/>
      <c r="M198" s="12"/>
      <c r="N198" s="10"/>
      <c r="O198" s="10"/>
      <c r="P198" s="11"/>
      <c r="Q198" s="10"/>
    </row>
    <row r="199" customFormat="false" ht="15" hidden="false" customHeight="false" outlineLevel="0" collapsed="false">
      <c r="A199" s="10"/>
      <c r="B199" s="10"/>
      <c r="C199" s="12"/>
      <c r="D199" s="10"/>
      <c r="E199" s="10"/>
      <c r="F199" s="10"/>
      <c r="G199" s="14" t="str">
        <f aca="false">IF(OR(C199="",F199=""),"",C199+IF(F199="紧急",0,IF(F199="优先",3,14)))</f>
        <v/>
      </c>
      <c r="H199" s="10"/>
      <c r="I199" s="10"/>
      <c r="J199" s="11"/>
      <c r="K199" s="12"/>
      <c r="L199" s="12"/>
      <c r="M199" s="12"/>
      <c r="N199" s="10"/>
      <c r="O199" s="10"/>
      <c r="P199" s="11"/>
      <c r="Q199" s="10"/>
    </row>
    <row r="200" customFormat="false" ht="15" hidden="false" customHeight="false" outlineLevel="0" collapsed="false">
      <c r="A200" s="10"/>
      <c r="B200" s="10"/>
      <c r="C200" s="12"/>
      <c r="D200" s="10"/>
      <c r="E200" s="10"/>
      <c r="F200" s="10"/>
      <c r="G200" s="14" t="str">
        <f aca="false">IF(OR(C200="",F200=""),"",C200+IF(F200="紧急",0,IF(F200="优先",3,14)))</f>
        <v/>
      </c>
      <c r="H200" s="10"/>
      <c r="I200" s="10"/>
      <c r="J200" s="11"/>
      <c r="K200" s="12"/>
      <c r="L200" s="12"/>
      <c r="M200" s="12"/>
      <c r="N200" s="10"/>
      <c r="O200" s="10"/>
      <c r="P200" s="11"/>
      <c r="Q200" s="10"/>
    </row>
  </sheetData>
  <autoFilter ref="A1:Q200"/>
  <dataValidations count="5">
    <dataValidation allowBlank="true" errorStyle="stop" operator="between" showDropDown="false" showErrorMessage="false" showInputMessage="false" sqref="F2:F200" type="list">
      <formula1>"紧急,优先,常规"</formula1>
      <formula2>0</formula2>
    </dataValidation>
    <dataValidation allowBlank="true" errorStyle="stop" operator="between" showDropDown="false" showErrorMessage="false" showInputMessage="false" sqref="H2:H200" type="list">
      <formula1>"业主,租客,待定"</formula1>
      <formula2>0</formula2>
    </dataValidation>
    <dataValidation allowBlank="true" errorStyle="stop" operator="between" showDropDown="false" showErrorMessage="false" showInputMessage="false" sqref="N2:N200" type="list">
      <formula1>"是,否"</formula1>
      <formula2>0</formula2>
    </dataValidation>
    <dataValidation allowBlank="true" errorStyle="stop" operator="between" showDropDown="false" showErrorMessage="false" showInputMessage="false" sqref="O2:O200" type="list">
      <formula1>"业主直付,信托,C租客垫付"</formula1>
      <formula2>0</formula2>
    </dataValidation>
    <dataValidation allowBlank="true" errorStyle="stop" operator="between" showDropDown="false" showErrorMessage="false" showInputMessage="false" sqref="Q2:Q200" type="list">
      <formula1>"报修,已分级,报价中,待批准,已派工,已完成,已付款,已归档"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2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36" hidden="false" customHeight="true" outlineLevel="0" collapsed="false">
      <c r="A1" s="8" t="s">
        <v>46</v>
      </c>
      <c r="B1" s="8" t="s">
        <v>128</v>
      </c>
      <c r="C1" s="8" t="s">
        <v>129</v>
      </c>
      <c r="D1" s="8" t="s">
        <v>130</v>
      </c>
      <c r="E1" s="9" t="s">
        <v>131</v>
      </c>
      <c r="F1" s="8" t="s">
        <v>132</v>
      </c>
      <c r="G1" s="8" t="s">
        <v>133</v>
      </c>
      <c r="H1" s="8" t="s">
        <v>76</v>
      </c>
      <c r="I1" s="8" t="s">
        <v>52</v>
      </c>
      <c r="J1" s="8" t="s">
        <v>134</v>
      </c>
      <c r="K1" s="8" t="s">
        <v>70</v>
      </c>
    </row>
    <row r="2" customFormat="false" ht="15" hidden="false" customHeight="false" outlineLevel="0" collapsed="false">
      <c r="A2" s="10"/>
      <c r="B2" s="10"/>
      <c r="C2" s="11"/>
      <c r="D2" s="11"/>
      <c r="E2" s="16" t="str">
        <f aca="false">IF(OR(C2="",D2=""),"",C2-D2)</f>
        <v/>
      </c>
      <c r="F2" s="12"/>
      <c r="G2" s="10"/>
      <c r="H2" s="11"/>
      <c r="I2" s="10"/>
      <c r="J2" s="10"/>
      <c r="K2" s="10"/>
    </row>
    <row r="3" customFormat="false" ht="15" hidden="false" customHeight="false" outlineLevel="0" collapsed="false">
      <c r="A3" s="10"/>
      <c r="B3" s="10"/>
      <c r="C3" s="11"/>
      <c r="D3" s="11"/>
      <c r="E3" s="16" t="str">
        <f aca="false">IF(OR(C3="",D3=""),"",C3-D3)</f>
        <v/>
      </c>
      <c r="F3" s="12"/>
      <c r="G3" s="10"/>
      <c r="H3" s="11"/>
      <c r="I3" s="10"/>
      <c r="J3" s="10"/>
      <c r="K3" s="10"/>
    </row>
    <row r="4" customFormat="false" ht="15" hidden="false" customHeight="false" outlineLevel="0" collapsed="false">
      <c r="A4" s="10"/>
      <c r="B4" s="10"/>
      <c r="C4" s="11"/>
      <c r="D4" s="11"/>
      <c r="E4" s="16" t="str">
        <f aca="false">IF(OR(C4="",D4=""),"",C4-D4)</f>
        <v/>
      </c>
      <c r="F4" s="12"/>
      <c r="G4" s="10"/>
      <c r="H4" s="11"/>
      <c r="I4" s="10"/>
      <c r="J4" s="10"/>
      <c r="K4" s="10"/>
    </row>
    <row r="5" customFormat="false" ht="15" hidden="false" customHeight="false" outlineLevel="0" collapsed="false">
      <c r="A5" s="10"/>
      <c r="B5" s="10"/>
      <c r="C5" s="11"/>
      <c r="D5" s="11"/>
      <c r="E5" s="16" t="str">
        <f aca="false">IF(OR(C5="",D5=""),"",C5-D5)</f>
        <v/>
      </c>
      <c r="F5" s="12"/>
      <c r="G5" s="10"/>
      <c r="H5" s="11"/>
      <c r="I5" s="10"/>
      <c r="J5" s="10"/>
      <c r="K5" s="10"/>
    </row>
    <row r="6" customFormat="false" ht="15" hidden="false" customHeight="false" outlineLevel="0" collapsed="false">
      <c r="A6" s="10"/>
      <c r="B6" s="10"/>
      <c r="C6" s="11"/>
      <c r="D6" s="11"/>
      <c r="E6" s="16" t="str">
        <f aca="false">IF(OR(C6="",D6=""),"",C6-D6)</f>
        <v/>
      </c>
      <c r="F6" s="12"/>
      <c r="G6" s="10"/>
      <c r="H6" s="11"/>
      <c r="I6" s="10"/>
      <c r="J6" s="10"/>
      <c r="K6" s="10"/>
    </row>
    <row r="7" customFormat="false" ht="15" hidden="false" customHeight="false" outlineLevel="0" collapsed="false">
      <c r="A7" s="10"/>
      <c r="B7" s="10"/>
      <c r="C7" s="11"/>
      <c r="D7" s="11"/>
      <c r="E7" s="16" t="str">
        <f aca="false">IF(OR(C7="",D7=""),"",C7-D7)</f>
        <v/>
      </c>
      <c r="F7" s="12"/>
      <c r="G7" s="10"/>
      <c r="H7" s="11"/>
      <c r="I7" s="10"/>
      <c r="J7" s="10"/>
      <c r="K7" s="10"/>
    </row>
    <row r="8" customFormat="false" ht="15" hidden="false" customHeight="false" outlineLevel="0" collapsed="false">
      <c r="A8" s="10"/>
      <c r="B8" s="10"/>
      <c r="C8" s="11"/>
      <c r="D8" s="11"/>
      <c r="E8" s="16" t="str">
        <f aca="false">IF(OR(C8="",D8=""),"",C8-D8)</f>
        <v/>
      </c>
      <c r="F8" s="12"/>
      <c r="G8" s="10"/>
      <c r="H8" s="11"/>
      <c r="I8" s="10"/>
      <c r="J8" s="10"/>
      <c r="K8" s="10"/>
    </row>
    <row r="9" customFormat="false" ht="15" hidden="false" customHeight="false" outlineLevel="0" collapsed="false">
      <c r="A9" s="10"/>
      <c r="B9" s="10"/>
      <c r="C9" s="11"/>
      <c r="D9" s="11"/>
      <c r="E9" s="16" t="str">
        <f aca="false">IF(OR(C9="",D9=""),"",C9-D9)</f>
        <v/>
      </c>
      <c r="F9" s="12"/>
      <c r="G9" s="10"/>
      <c r="H9" s="11"/>
      <c r="I9" s="10"/>
      <c r="J9" s="10"/>
      <c r="K9" s="10"/>
    </row>
    <row r="10" customFormat="false" ht="15" hidden="false" customHeight="false" outlineLevel="0" collapsed="false">
      <c r="A10" s="10"/>
      <c r="B10" s="10"/>
      <c r="C10" s="11"/>
      <c r="D10" s="11"/>
      <c r="E10" s="16" t="str">
        <f aca="false">IF(OR(C10="",D10=""),"",C10-D10)</f>
        <v/>
      </c>
      <c r="F10" s="12"/>
      <c r="G10" s="10"/>
      <c r="H10" s="11"/>
      <c r="I10" s="10"/>
      <c r="J10" s="10"/>
      <c r="K10" s="10"/>
    </row>
    <row r="11" customFormat="false" ht="15" hidden="false" customHeight="false" outlineLevel="0" collapsed="false">
      <c r="A11" s="10"/>
      <c r="B11" s="10"/>
      <c r="C11" s="11"/>
      <c r="D11" s="11"/>
      <c r="E11" s="16" t="str">
        <f aca="false">IF(OR(C11="",D11=""),"",C11-D11)</f>
        <v/>
      </c>
      <c r="F11" s="12"/>
      <c r="G11" s="10"/>
      <c r="H11" s="11"/>
      <c r="I11" s="10"/>
      <c r="J11" s="10"/>
      <c r="K11" s="10"/>
    </row>
    <row r="12" customFormat="false" ht="15" hidden="false" customHeight="false" outlineLevel="0" collapsed="false">
      <c r="A12" s="10"/>
      <c r="B12" s="10"/>
      <c r="C12" s="11"/>
      <c r="D12" s="11"/>
      <c r="E12" s="16" t="str">
        <f aca="false">IF(OR(C12="",D12=""),"",C12-D12)</f>
        <v/>
      </c>
      <c r="F12" s="12"/>
      <c r="G12" s="10"/>
      <c r="H12" s="11"/>
      <c r="I12" s="10"/>
      <c r="J12" s="10"/>
      <c r="K12" s="10"/>
    </row>
    <row r="13" customFormat="false" ht="15" hidden="false" customHeight="false" outlineLevel="0" collapsed="false">
      <c r="A13" s="10"/>
      <c r="B13" s="10"/>
      <c r="C13" s="11"/>
      <c r="D13" s="11"/>
      <c r="E13" s="16" t="str">
        <f aca="false">IF(OR(C13="",D13=""),"",C13-D13)</f>
        <v/>
      </c>
      <c r="F13" s="12"/>
      <c r="G13" s="10"/>
      <c r="H13" s="11"/>
      <c r="I13" s="10"/>
      <c r="J13" s="10"/>
      <c r="K13" s="10"/>
    </row>
    <row r="14" customFormat="false" ht="15" hidden="false" customHeight="false" outlineLevel="0" collapsed="false">
      <c r="A14" s="10"/>
      <c r="B14" s="10"/>
      <c r="C14" s="11"/>
      <c r="D14" s="11"/>
      <c r="E14" s="16" t="str">
        <f aca="false">IF(OR(C14="",D14=""),"",C14-D14)</f>
        <v/>
      </c>
      <c r="F14" s="12"/>
      <c r="G14" s="10"/>
      <c r="H14" s="11"/>
      <c r="I14" s="10"/>
      <c r="J14" s="10"/>
      <c r="K14" s="10"/>
    </row>
    <row r="15" customFormat="false" ht="15" hidden="false" customHeight="false" outlineLevel="0" collapsed="false">
      <c r="A15" s="10"/>
      <c r="B15" s="10"/>
      <c r="C15" s="11"/>
      <c r="D15" s="11"/>
      <c r="E15" s="16" t="str">
        <f aca="false">IF(OR(C15="",D15=""),"",C15-D15)</f>
        <v/>
      </c>
      <c r="F15" s="12"/>
      <c r="G15" s="10"/>
      <c r="H15" s="11"/>
      <c r="I15" s="10"/>
      <c r="J15" s="10"/>
      <c r="K15" s="10"/>
    </row>
    <row r="16" customFormat="false" ht="15" hidden="false" customHeight="false" outlineLevel="0" collapsed="false">
      <c r="A16" s="10"/>
      <c r="B16" s="10"/>
      <c r="C16" s="11"/>
      <c r="D16" s="11"/>
      <c r="E16" s="16" t="str">
        <f aca="false">IF(OR(C16="",D16=""),"",C16-D16)</f>
        <v/>
      </c>
      <c r="F16" s="12"/>
      <c r="G16" s="10"/>
      <c r="H16" s="11"/>
      <c r="I16" s="10"/>
      <c r="J16" s="10"/>
      <c r="K16" s="10"/>
    </row>
    <row r="17" customFormat="false" ht="15" hidden="false" customHeight="false" outlineLevel="0" collapsed="false">
      <c r="A17" s="10"/>
      <c r="B17" s="10"/>
      <c r="C17" s="11"/>
      <c r="D17" s="11"/>
      <c r="E17" s="16" t="str">
        <f aca="false">IF(OR(C17="",D17=""),"",C17-D17)</f>
        <v/>
      </c>
      <c r="F17" s="12"/>
      <c r="G17" s="10"/>
      <c r="H17" s="11"/>
      <c r="I17" s="10"/>
      <c r="J17" s="10"/>
      <c r="K17" s="10"/>
    </row>
    <row r="18" customFormat="false" ht="15" hidden="false" customHeight="false" outlineLevel="0" collapsed="false">
      <c r="A18" s="10"/>
      <c r="B18" s="10"/>
      <c r="C18" s="11"/>
      <c r="D18" s="11"/>
      <c r="E18" s="16" t="str">
        <f aca="false">IF(OR(C18="",D18=""),"",C18-D18)</f>
        <v/>
      </c>
      <c r="F18" s="12"/>
      <c r="G18" s="10"/>
      <c r="H18" s="11"/>
      <c r="I18" s="10"/>
      <c r="J18" s="10"/>
      <c r="K18" s="10"/>
    </row>
    <row r="19" customFormat="false" ht="15" hidden="false" customHeight="false" outlineLevel="0" collapsed="false">
      <c r="A19" s="10"/>
      <c r="B19" s="10"/>
      <c r="C19" s="11"/>
      <c r="D19" s="11"/>
      <c r="E19" s="16" t="str">
        <f aca="false">IF(OR(C19="",D19=""),"",C19-D19)</f>
        <v/>
      </c>
      <c r="F19" s="12"/>
      <c r="G19" s="10"/>
      <c r="H19" s="11"/>
      <c r="I19" s="10"/>
      <c r="J19" s="10"/>
      <c r="K19" s="10"/>
    </row>
    <row r="20" customFormat="false" ht="15" hidden="false" customHeight="false" outlineLevel="0" collapsed="false">
      <c r="A20" s="10"/>
      <c r="B20" s="10"/>
      <c r="C20" s="11"/>
      <c r="D20" s="11"/>
      <c r="E20" s="16" t="str">
        <f aca="false">IF(OR(C20="",D20=""),"",C20-D20)</f>
        <v/>
      </c>
      <c r="F20" s="12"/>
      <c r="G20" s="10"/>
      <c r="H20" s="11"/>
      <c r="I20" s="10"/>
      <c r="J20" s="10"/>
      <c r="K20" s="10"/>
    </row>
    <row r="21" customFormat="false" ht="15" hidden="false" customHeight="false" outlineLevel="0" collapsed="false">
      <c r="A21" s="10"/>
      <c r="B21" s="10"/>
      <c r="C21" s="11"/>
      <c r="D21" s="11"/>
      <c r="E21" s="16" t="str">
        <f aca="false">IF(OR(C21="",D21=""),"",C21-D21)</f>
        <v/>
      </c>
      <c r="F21" s="12"/>
      <c r="G21" s="10"/>
      <c r="H21" s="11"/>
      <c r="I21" s="10"/>
      <c r="J21" s="10"/>
      <c r="K21" s="10"/>
    </row>
    <row r="22" customFormat="false" ht="15" hidden="false" customHeight="false" outlineLevel="0" collapsed="false">
      <c r="A22" s="10"/>
      <c r="B22" s="10"/>
      <c r="C22" s="11"/>
      <c r="D22" s="11"/>
      <c r="E22" s="16" t="str">
        <f aca="false">IF(OR(C22="",D22=""),"",C22-D22)</f>
        <v/>
      </c>
      <c r="F22" s="12"/>
      <c r="G22" s="10"/>
      <c r="H22" s="11"/>
      <c r="I22" s="10"/>
      <c r="J22" s="10"/>
      <c r="K22" s="10"/>
    </row>
    <row r="23" customFormat="false" ht="15" hidden="false" customHeight="false" outlineLevel="0" collapsed="false">
      <c r="A23" s="10"/>
      <c r="B23" s="10"/>
      <c r="C23" s="11"/>
      <c r="D23" s="11"/>
      <c r="E23" s="16" t="str">
        <f aca="false">IF(OR(C23="",D23=""),"",C23-D23)</f>
        <v/>
      </c>
      <c r="F23" s="12"/>
      <c r="G23" s="10"/>
      <c r="H23" s="11"/>
      <c r="I23" s="10"/>
      <c r="J23" s="10"/>
      <c r="K23" s="10"/>
    </row>
    <row r="24" customFormat="false" ht="15" hidden="false" customHeight="false" outlineLevel="0" collapsed="false">
      <c r="A24" s="10"/>
      <c r="B24" s="10"/>
      <c r="C24" s="11"/>
      <c r="D24" s="11"/>
      <c r="E24" s="16" t="str">
        <f aca="false">IF(OR(C24="",D24=""),"",C24-D24)</f>
        <v/>
      </c>
      <c r="F24" s="12"/>
      <c r="G24" s="10"/>
      <c r="H24" s="11"/>
      <c r="I24" s="10"/>
      <c r="J24" s="10"/>
      <c r="K24" s="10"/>
    </row>
    <row r="25" customFormat="false" ht="15" hidden="false" customHeight="false" outlineLevel="0" collapsed="false">
      <c r="A25" s="10"/>
      <c r="B25" s="10"/>
      <c r="C25" s="11"/>
      <c r="D25" s="11"/>
      <c r="E25" s="16" t="str">
        <f aca="false">IF(OR(C25="",D25=""),"",C25-D25)</f>
        <v/>
      </c>
      <c r="F25" s="12"/>
      <c r="G25" s="10"/>
      <c r="H25" s="11"/>
      <c r="I25" s="10"/>
      <c r="J25" s="10"/>
      <c r="K25" s="10"/>
    </row>
    <row r="26" customFormat="false" ht="15" hidden="false" customHeight="false" outlineLevel="0" collapsed="false">
      <c r="A26" s="10"/>
      <c r="B26" s="10"/>
      <c r="C26" s="11"/>
      <c r="D26" s="11"/>
      <c r="E26" s="16" t="str">
        <f aca="false">IF(OR(C26="",D26=""),"",C26-D26)</f>
        <v/>
      </c>
      <c r="F26" s="12"/>
      <c r="G26" s="10"/>
      <c r="H26" s="11"/>
      <c r="I26" s="10"/>
      <c r="J26" s="10"/>
      <c r="K26" s="10"/>
    </row>
    <row r="27" customFormat="false" ht="15" hidden="false" customHeight="false" outlineLevel="0" collapsed="false">
      <c r="A27" s="10"/>
      <c r="B27" s="10"/>
      <c r="C27" s="11"/>
      <c r="D27" s="11"/>
      <c r="E27" s="16" t="str">
        <f aca="false">IF(OR(C27="",D27=""),"",C27-D27)</f>
        <v/>
      </c>
      <c r="F27" s="12"/>
      <c r="G27" s="10"/>
      <c r="H27" s="11"/>
      <c r="I27" s="10"/>
      <c r="J27" s="10"/>
      <c r="K27" s="10"/>
    </row>
    <row r="28" customFormat="false" ht="15" hidden="false" customHeight="false" outlineLevel="0" collapsed="false">
      <c r="A28" s="10"/>
      <c r="B28" s="10"/>
      <c r="C28" s="11"/>
      <c r="D28" s="11"/>
      <c r="E28" s="16" t="str">
        <f aca="false">IF(OR(C28="",D28=""),"",C28-D28)</f>
        <v/>
      </c>
      <c r="F28" s="12"/>
      <c r="G28" s="10"/>
      <c r="H28" s="11"/>
      <c r="I28" s="10"/>
      <c r="J28" s="10"/>
      <c r="K28" s="10"/>
    </row>
    <row r="29" customFormat="false" ht="15" hidden="false" customHeight="false" outlineLevel="0" collapsed="false">
      <c r="A29" s="10"/>
      <c r="B29" s="10"/>
      <c r="C29" s="11"/>
      <c r="D29" s="11"/>
      <c r="E29" s="16" t="str">
        <f aca="false">IF(OR(C29="",D29=""),"",C29-D29)</f>
        <v/>
      </c>
      <c r="F29" s="12"/>
      <c r="G29" s="10"/>
      <c r="H29" s="11"/>
      <c r="I29" s="10"/>
      <c r="J29" s="10"/>
      <c r="K29" s="10"/>
    </row>
    <row r="30" customFormat="false" ht="15" hidden="false" customHeight="false" outlineLevel="0" collapsed="false">
      <c r="A30" s="10"/>
      <c r="B30" s="10"/>
      <c r="C30" s="11"/>
      <c r="D30" s="11"/>
      <c r="E30" s="16" t="str">
        <f aca="false">IF(OR(C30="",D30=""),"",C30-D30)</f>
        <v/>
      </c>
      <c r="F30" s="12"/>
      <c r="G30" s="10"/>
      <c r="H30" s="11"/>
      <c r="I30" s="10"/>
      <c r="J30" s="10"/>
      <c r="K30" s="10"/>
    </row>
    <row r="31" customFormat="false" ht="15" hidden="false" customHeight="false" outlineLevel="0" collapsed="false">
      <c r="A31" s="10"/>
      <c r="B31" s="10"/>
      <c r="C31" s="11"/>
      <c r="D31" s="11"/>
      <c r="E31" s="16" t="str">
        <f aca="false">IF(OR(C31="",D31=""),"",C31-D31)</f>
        <v/>
      </c>
      <c r="F31" s="12"/>
      <c r="G31" s="10"/>
      <c r="H31" s="11"/>
      <c r="I31" s="10"/>
      <c r="J31" s="10"/>
      <c r="K31" s="10"/>
    </row>
    <row r="32" customFormat="false" ht="15" hidden="false" customHeight="false" outlineLevel="0" collapsed="false">
      <c r="A32" s="10"/>
      <c r="B32" s="10"/>
      <c r="C32" s="11"/>
      <c r="D32" s="11"/>
      <c r="E32" s="16" t="str">
        <f aca="false">IF(OR(C32="",D32=""),"",C32-D32)</f>
        <v/>
      </c>
      <c r="F32" s="12"/>
      <c r="G32" s="10"/>
      <c r="H32" s="11"/>
      <c r="I32" s="10"/>
      <c r="J32" s="10"/>
      <c r="K32" s="10"/>
    </row>
    <row r="33" customFormat="false" ht="15" hidden="false" customHeight="false" outlineLevel="0" collapsed="false">
      <c r="A33" s="10"/>
      <c r="B33" s="10"/>
      <c r="C33" s="11"/>
      <c r="D33" s="11"/>
      <c r="E33" s="16" t="str">
        <f aca="false">IF(OR(C33="",D33=""),"",C33-D33)</f>
        <v/>
      </c>
      <c r="F33" s="12"/>
      <c r="G33" s="10"/>
      <c r="H33" s="11"/>
      <c r="I33" s="10"/>
      <c r="J33" s="10"/>
      <c r="K33" s="10"/>
    </row>
    <row r="34" customFormat="false" ht="15" hidden="false" customHeight="false" outlineLevel="0" collapsed="false">
      <c r="A34" s="10"/>
      <c r="B34" s="10"/>
      <c r="C34" s="11"/>
      <c r="D34" s="11"/>
      <c r="E34" s="16" t="str">
        <f aca="false">IF(OR(C34="",D34=""),"",C34-D34)</f>
        <v/>
      </c>
      <c r="F34" s="12"/>
      <c r="G34" s="10"/>
      <c r="H34" s="11"/>
      <c r="I34" s="10"/>
      <c r="J34" s="10"/>
      <c r="K34" s="10"/>
    </row>
    <row r="35" customFormat="false" ht="15" hidden="false" customHeight="false" outlineLevel="0" collapsed="false">
      <c r="A35" s="10"/>
      <c r="B35" s="10"/>
      <c r="C35" s="11"/>
      <c r="D35" s="11"/>
      <c r="E35" s="16" t="str">
        <f aca="false">IF(OR(C35="",D35=""),"",C35-D35)</f>
        <v/>
      </c>
      <c r="F35" s="12"/>
      <c r="G35" s="10"/>
      <c r="H35" s="11"/>
      <c r="I35" s="10"/>
      <c r="J35" s="10"/>
      <c r="K35" s="10"/>
    </row>
    <row r="36" customFormat="false" ht="15" hidden="false" customHeight="false" outlineLevel="0" collapsed="false">
      <c r="A36" s="10"/>
      <c r="B36" s="10"/>
      <c r="C36" s="11"/>
      <c r="D36" s="11"/>
      <c r="E36" s="16" t="str">
        <f aca="false">IF(OR(C36="",D36=""),"",C36-D36)</f>
        <v/>
      </c>
      <c r="F36" s="12"/>
      <c r="G36" s="10"/>
      <c r="H36" s="11"/>
      <c r="I36" s="10"/>
      <c r="J36" s="10"/>
      <c r="K36" s="10"/>
    </row>
    <row r="37" customFormat="false" ht="15" hidden="false" customHeight="false" outlineLevel="0" collapsed="false">
      <c r="A37" s="10"/>
      <c r="B37" s="10"/>
      <c r="C37" s="11"/>
      <c r="D37" s="11"/>
      <c r="E37" s="16" t="str">
        <f aca="false">IF(OR(C37="",D37=""),"",C37-D37)</f>
        <v/>
      </c>
      <c r="F37" s="12"/>
      <c r="G37" s="10"/>
      <c r="H37" s="11"/>
      <c r="I37" s="10"/>
      <c r="J37" s="10"/>
      <c r="K37" s="10"/>
    </row>
    <row r="38" customFormat="false" ht="15" hidden="false" customHeight="false" outlineLevel="0" collapsed="false">
      <c r="A38" s="10"/>
      <c r="B38" s="10"/>
      <c r="C38" s="11"/>
      <c r="D38" s="11"/>
      <c r="E38" s="16" t="str">
        <f aca="false">IF(OR(C38="",D38=""),"",C38-D38)</f>
        <v/>
      </c>
      <c r="F38" s="12"/>
      <c r="G38" s="10"/>
      <c r="H38" s="11"/>
      <c r="I38" s="10"/>
      <c r="J38" s="10"/>
      <c r="K38" s="10"/>
    </row>
    <row r="39" customFormat="false" ht="15" hidden="false" customHeight="false" outlineLevel="0" collapsed="false">
      <c r="A39" s="10"/>
      <c r="B39" s="10"/>
      <c r="C39" s="11"/>
      <c r="D39" s="11"/>
      <c r="E39" s="16" t="str">
        <f aca="false">IF(OR(C39="",D39=""),"",C39-D39)</f>
        <v/>
      </c>
      <c r="F39" s="12"/>
      <c r="G39" s="10"/>
      <c r="H39" s="11"/>
      <c r="I39" s="10"/>
      <c r="J39" s="10"/>
      <c r="K39" s="10"/>
    </row>
    <row r="40" customFormat="false" ht="15" hidden="false" customHeight="false" outlineLevel="0" collapsed="false">
      <c r="A40" s="10"/>
      <c r="B40" s="10"/>
      <c r="C40" s="11"/>
      <c r="D40" s="11"/>
      <c r="E40" s="16" t="str">
        <f aca="false">IF(OR(C40="",D40=""),"",C40-D40)</f>
        <v/>
      </c>
      <c r="F40" s="12"/>
      <c r="G40" s="10"/>
      <c r="H40" s="11"/>
      <c r="I40" s="10"/>
      <c r="J40" s="10"/>
      <c r="K40" s="10"/>
    </row>
    <row r="41" customFormat="false" ht="15" hidden="false" customHeight="false" outlineLevel="0" collapsed="false">
      <c r="A41" s="10"/>
      <c r="B41" s="10"/>
      <c r="C41" s="11"/>
      <c r="D41" s="11"/>
      <c r="E41" s="16" t="str">
        <f aca="false">IF(OR(C41="",D41=""),"",C41-D41)</f>
        <v/>
      </c>
      <c r="F41" s="12"/>
      <c r="G41" s="10"/>
      <c r="H41" s="11"/>
      <c r="I41" s="10"/>
      <c r="J41" s="10"/>
      <c r="K41" s="10"/>
    </row>
    <row r="42" customFormat="false" ht="15" hidden="false" customHeight="false" outlineLevel="0" collapsed="false">
      <c r="A42" s="10"/>
      <c r="B42" s="10"/>
      <c r="C42" s="11"/>
      <c r="D42" s="11"/>
      <c r="E42" s="16" t="str">
        <f aca="false">IF(OR(C42="",D42=""),"",C42-D42)</f>
        <v/>
      </c>
      <c r="F42" s="12"/>
      <c r="G42" s="10"/>
      <c r="H42" s="11"/>
      <c r="I42" s="10"/>
      <c r="J42" s="10"/>
      <c r="K42" s="10"/>
    </row>
    <row r="43" customFormat="false" ht="15" hidden="false" customHeight="false" outlineLevel="0" collapsed="false">
      <c r="A43" s="10"/>
      <c r="B43" s="10"/>
      <c r="C43" s="11"/>
      <c r="D43" s="11"/>
      <c r="E43" s="16" t="str">
        <f aca="false">IF(OR(C43="",D43=""),"",C43-D43)</f>
        <v/>
      </c>
      <c r="F43" s="12"/>
      <c r="G43" s="10"/>
      <c r="H43" s="11"/>
      <c r="I43" s="10"/>
      <c r="J43" s="10"/>
      <c r="K43" s="10"/>
    </row>
    <row r="44" customFormat="false" ht="15" hidden="false" customHeight="false" outlineLevel="0" collapsed="false">
      <c r="A44" s="10"/>
      <c r="B44" s="10"/>
      <c r="C44" s="11"/>
      <c r="D44" s="11"/>
      <c r="E44" s="16" t="str">
        <f aca="false">IF(OR(C44="",D44=""),"",C44-D44)</f>
        <v/>
      </c>
      <c r="F44" s="12"/>
      <c r="G44" s="10"/>
      <c r="H44" s="11"/>
      <c r="I44" s="10"/>
      <c r="J44" s="10"/>
      <c r="K44" s="10"/>
    </row>
    <row r="45" customFormat="false" ht="15" hidden="false" customHeight="false" outlineLevel="0" collapsed="false">
      <c r="A45" s="10"/>
      <c r="B45" s="10"/>
      <c r="C45" s="11"/>
      <c r="D45" s="11"/>
      <c r="E45" s="16" t="str">
        <f aca="false">IF(OR(C45="",D45=""),"",C45-D45)</f>
        <v/>
      </c>
      <c r="F45" s="12"/>
      <c r="G45" s="10"/>
      <c r="H45" s="11"/>
      <c r="I45" s="10"/>
      <c r="J45" s="10"/>
      <c r="K45" s="10"/>
    </row>
    <row r="46" customFormat="false" ht="15" hidden="false" customHeight="false" outlineLevel="0" collapsed="false">
      <c r="A46" s="10"/>
      <c r="B46" s="10"/>
      <c r="C46" s="11"/>
      <c r="D46" s="11"/>
      <c r="E46" s="16" t="str">
        <f aca="false">IF(OR(C46="",D46=""),"",C46-D46)</f>
        <v/>
      </c>
      <c r="F46" s="12"/>
      <c r="G46" s="10"/>
      <c r="H46" s="11"/>
      <c r="I46" s="10"/>
      <c r="J46" s="10"/>
      <c r="K46" s="10"/>
    </row>
    <row r="47" customFormat="false" ht="15" hidden="false" customHeight="false" outlineLevel="0" collapsed="false">
      <c r="A47" s="10"/>
      <c r="B47" s="10"/>
      <c r="C47" s="11"/>
      <c r="D47" s="11"/>
      <c r="E47" s="16" t="str">
        <f aca="false">IF(OR(C47="",D47=""),"",C47-D47)</f>
        <v/>
      </c>
      <c r="F47" s="12"/>
      <c r="G47" s="10"/>
      <c r="H47" s="11"/>
      <c r="I47" s="10"/>
      <c r="J47" s="10"/>
      <c r="K47" s="10"/>
    </row>
    <row r="48" customFormat="false" ht="15" hidden="false" customHeight="false" outlineLevel="0" collapsed="false">
      <c r="A48" s="10"/>
      <c r="B48" s="10"/>
      <c r="C48" s="11"/>
      <c r="D48" s="11"/>
      <c r="E48" s="16" t="str">
        <f aca="false">IF(OR(C48="",D48=""),"",C48-D48)</f>
        <v/>
      </c>
      <c r="F48" s="12"/>
      <c r="G48" s="10"/>
      <c r="H48" s="11"/>
      <c r="I48" s="10"/>
      <c r="J48" s="10"/>
      <c r="K48" s="10"/>
    </row>
    <row r="49" customFormat="false" ht="15" hidden="false" customHeight="false" outlineLevel="0" collapsed="false">
      <c r="A49" s="10"/>
      <c r="B49" s="10"/>
      <c r="C49" s="11"/>
      <c r="D49" s="11"/>
      <c r="E49" s="16" t="str">
        <f aca="false">IF(OR(C49="",D49=""),"",C49-D49)</f>
        <v/>
      </c>
      <c r="F49" s="12"/>
      <c r="G49" s="10"/>
      <c r="H49" s="11"/>
      <c r="I49" s="10"/>
      <c r="J49" s="10"/>
      <c r="K49" s="10"/>
    </row>
    <row r="50" customFormat="false" ht="15" hidden="false" customHeight="false" outlineLevel="0" collapsed="false">
      <c r="A50" s="10"/>
      <c r="B50" s="10"/>
      <c r="C50" s="11"/>
      <c r="D50" s="11"/>
      <c r="E50" s="16" t="str">
        <f aca="false">IF(OR(C50="",D50=""),"",C50-D50)</f>
        <v/>
      </c>
      <c r="F50" s="12"/>
      <c r="G50" s="10"/>
      <c r="H50" s="11"/>
      <c r="I50" s="10"/>
      <c r="J50" s="10"/>
      <c r="K50" s="10"/>
    </row>
    <row r="51" customFormat="false" ht="15" hidden="false" customHeight="false" outlineLevel="0" collapsed="false">
      <c r="A51" s="10"/>
      <c r="B51" s="10"/>
      <c r="C51" s="11"/>
      <c r="D51" s="11"/>
      <c r="E51" s="16" t="str">
        <f aca="false">IF(OR(C51="",D51=""),"",C51-D51)</f>
        <v/>
      </c>
      <c r="F51" s="12"/>
      <c r="G51" s="10"/>
      <c r="H51" s="11"/>
      <c r="I51" s="10"/>
      <c r="J51" s="10"/>
      <c r="K51" s="10"/>
    </row>
    <row r="52" customFormat="false" ht="15" hidden="false" customHeight="false" outlineLevel="0" collapsed="false">
      <c r="A52" s="10"/>
      <c r="B52" s="10"/>
      <c r="C52" s="11"/>
      <c r="D52" s="11"/>
      <c r="E52" s="16" t="str">
        <f aca="false">IF(OR(C52="",D52=""),"",C52-D52)</f>
        <v/>
      </c>
      <c r="F52" s="12"/>
      <c r="G52" s="10"/>
      <c r="H52" s="11"/>
      <c r="I52" s="10"/>
      <c r="J52" s="10"/>
      <c r="K52" s="10"/>
    </row>
    <row r="53" customFormat="false" ht="15" hidden="false" customHeight="false" outlineLevel="0" collapsed="false">
      <c r="A53" s="10"/>
      <c r="B53" s="10"/>
      <c r="C53" s="11"/>
      <c r="D53" s="11"/>
      <c r="E53" s="16" t="str">
        <f aca="false">IF(OR(C53="",D53=""),"",C53-D53)</f>
        <v/>
      </c>
      <c r="F53" s="12"/>
      <c r="G53" s="10"/>
      <c r="H53" s="11"/>
      <c r="I53" s="10"/>
      <c r="J53" s="10"/>
      <c r="K53" s="10"/>
    </row>
    <row r="54" customFormat="false" ht="15" hidden="false" customHeight="false" outlineLevel="0" collapsed="false">
      <c r="A54" s="10"/>
      <c r="B54" s="10"/>
      <c r="C54" s="11"/>
      <c r="D54" s="11"/>
      <c r="E54" s="16" t="str">
        <f aca="false">IF(OR(C54="",D54=""),"",C54-D54)</f>
        <v/>
      </c>
      <c r="F54" s="12"/>
      <c r="G54" s="10"/>
      <c r="H54" s="11"/>
      <c r="I54" s="10"/>
      <c r="J54" s="10"/>
      <c r="K54" s="10"/>
    </row>
    <row r="55" customFormat="false" ht="15" hidden="false" customHeight="false" outlineLevel="0" collapsed="false">
      <c r="A55" s="10"/>
      <c r="B55" s="10"/>
      <c r="C55" s="11"/>
      <c r="D55" s="11"/>
      <c r="E55" s="16" t="str">
        <f aca="false">IF(OR(C55="",D55=""),"",C55-D55)</f>
        <v/>
      </c>
      <c r="F55" s="12"/>
      <c r="G55" s="10"/>
      <c r="H55" s="11"/>
      <c r="I55" s="10"/>
      <c r="J55" s="10"/>
      <c r="K55" s="10"/>
    </row>
    <row r="56" customFormat="false" ht="15" hidden="false" customHeight="false" outlineLevel="0" collapsed="false">
      <c r="A56" s="10"/>
      <c r="B56" s="10"/>
      <c r="C56" s="11"/>
      <c r="D56" s="11"/>
      <c r="E56" s="16" t="str">
        <f aca="false">IF(OR(C56="",D56=""),"",C56-D56)</f>
        <v/>
      </c>
      <c r="F56" s="12"/>
      <c r="G56" s="10"/>
      <c r="H56" s="11"/>
      <c r="I56" s="10"/>
      <c r="J56" s="10"/>
      <c r="K56" s="10"/>
    </row>
    <row r="57" customFormat="false" ht="15" hidden="false" customHeight="false" outlineLevel="0" collapsed="false">
      <c r="A57" s="10"/>
      <c r="B57" s="10"/>
      <c r="C57" s="11"/>
      <c r="D57" s="11"/>
      <c r="E57" s="16" t="str">
        <f aca="false">IF(OR(C57="",D57=""),"",C57-D57)</f>
        <v/>
      </c>
      <c r="F57" s="12"/>
      <c r="G57" s="10"/>
      <c r="H57" s="11"/>
      <c r="I57" s="10"/>
      <c r="J57" s="10"/>
      <c r="K57" s="10"/>
    </row>
    <row r="58" customFormat="false" ht="15" hidden="false" customHeight="false" outlineLevel="0" collapsed="false">
      <c r="A58" s="10"/>
      <c r="B58" s="10"/>
      <c r="C58" s="11"/>
      <c r="D58" s="11"/>
      <c r="E58" s="16" t="str">
        <f aca="false">IF(OR(C58="",D58=""),"",C58-D58)</f>
        <v/>
      </c>
      <c r="F58" s="12"/>
      <c r="G58" s="10"/>
      <c r="H58" s="11"/>
      <c r="I58" s="10"/>
      <c r="J58" s="10"/>
      <c r="K58" s="10"/>
    </row>
    <row r="59" customFormat="false" ht="15" hidden="false" customHeight="false" outlineLevel="0" collapsed="false">
      <c r="A59" s="10"/>
      <c r="B59" s="10"/>
      <c r="C59" s="11"/>
      <c r="D59" s="11"/>
      <c r="E59" s="16" t="str">
        <f aca="false">IF(OR(C59="",D59=""),"",C59-D59)</f>
        <v/>
      </c>
      <c r="F59" s="12"/>
      <c r="G59" s="10"/>
      <c r="H59" s="11"/>
      <c r="I59" s="10"/>
      <c r="J59" s="10"/>
      <c r="K59" s="10"/>
    </row>
    <row r="60" customFormat="false" ht="15" hidden="false" customHeight="false" outlineLevel="0" collapsed="false">
      <c r="A60" s="10"/>
      <c r="B60" s="10"/>
      <c r="C60" s="11"/>
      <c r="D60" s="11"/>
      <c r="E60" s="16" t="str">
        <f aca="false">IF(OR(C60="",D60=""),"",C60-D60)</f>
        <v/>
      </c>
      <c r="F60" s="12"/>
      <c r="G60" s="10"/>
      <c r="H60" s="11"/>
      <c r="I60" s="10"/>
      <c r="J60" s="10"/>
      <c r="K60" s="10"/>
    </row>
    <row r="61" customFormat="false" ht="15" hidden="false" customHeight="false" outlineLevel="0" collapsed="false">
      <c r="A61" s="10"/>
      <c r="B61" s="10"/>
      <c r="C61" s="11"/>
      <c r="D61" s="11"/>
      <c r="E61" s="16" t="str">
        <f aca="false">IF(OR(C61="",D61=""),"",C61-D61)</f>
        <v/>
      </c>
      <c r="F61" s="12"/>
      <c r="G61" s="10"/>
      <c r="H61" s="11"/>
      <c r="I61" s="10"/>
      <c r="J61" s="10"/>
      <c r="K61" s="10"/>
    </row>
    <row r="62" customFormat="false" ht="15" hidden="false" customHeight="false" outlineLevel="0" collapsed="false">
      <c r="A62" s="10"/>
      <c r="B62" s="10"/>
      <c r="C62" s="11"/>
      <c r="D62" s="11"/>
      <c r="E62" s="16" t="str">
        <f aca="false">IF(OR(C62="",D62=""),"",C62-D62)</f>
        <v/>
      </c>
      <c r="F62" s="12"/>
      <c r="G62" s="10"/>
      <c r="H62" s="11"/>
      <c r="I62" s="10"/>
      <c r="J62" s="10"/>
      <c r="K62" s="10"/>
    </row>
    <row r="63" customFormat="false" ht="15" hidden="false" customHeight="false" outlineLevel="0" collapsed="false">
      <c r="A63" s="10"/>
      <c r="B63" s="10"/>
      <c r="C63" s="11"/>
      <c r="D63" s="11"/>
      <c r="E63" s="16" t="str">
        <f aca="false">IF(OR(C63="",D63=""),"",C63-D63)</f>
        <v/>
      </c>
      <c r="F63" s="12"/>
      <c r="G63" s="10"/>
      <c r="H63" s="11"/>
      <c r="I63" s="10"/>
      <c r="J63" s="10"/>
      <c r="K63" s="10"/>
    </row>
    <row r="64" customFormat="false" ht="15" hidden="false" customHeight="false" outlineLevel="0" collapsed="false">
      <c r="A64" s="10"/>
      <c r="B64" s="10"/>
      <c r="C64" s="11"/>
      <c r="D64" s="11"/>
      <c r="E64" s="16" t="str">
        <f aca="false">IF(OR(C64="",D64=""),"",C64-D64)</f>
        <v/>
      </c>
      <c r="F64" s="12"/>
      <c r="G64" s="10"/>
      <c r="H64" s="11"/>
      <c r="I64" s="10"/>
      <c r="J64" s="10"/>
      <c r="K64" s="10"/>
    </row>
    <row r="65" customFormat="false" ht="15" hidden="false" customHeight="false" outlineLevel="0" collapsed="false">
      <c r="A65" s="10"/>
      <c r="B65" s="10"/>
      <c r="C65" s="11"/>
      <c r="D65" s="11"/>
      <c r="E65" s="16" t="str">
        <f aca="false">IF(OR(C65="",D65=""),"",C65-D65)</f>
        <v/>
      </c>
      <c r="F65" s="12"/>
      <c r="G65" s="10"/>
      <c r="H65" s="11"/>
      <c r="I65" s="10"/>
      <c r="J65" s="10"/>
      <c r="K65" s="10"/>
    </row>
    <row r="66" customFormat="false" ht="15" hidden="false" customHeight="false" outlineLevel="0" collapsed="false">
      <c r="A66" s="10"/>
      <c r="B66" s="10"/>
      <c r="C66" s="11"/>
      <c r="D66" s="11"/>
      <c r="E66" s="16" t="str">
        <f aca="false">IF(OR(C66="",D66=""),"",C66-D66)</f>
        <v/>
      </c>
      <c r="F66" s="12"/>
      <c r="G66" s="10"/>
      <c r="H66" s="11"/>
      <c r="I66" s="10"/>
      <c r="J66" s="10"/>
      <c r="K66" s="10"/>
    </row>
    <row r="67" customFormat="false" ht="15" hidden="false" customHeight="false" outlineLevel="0" collapsed="false">
      <c r="A67" s="10"/>
      <c r="B67" s="10"/>
      <c r="C67" s="11"/>
      <c r="D67" s="11"/>
      <c r="E67" s="16" t="str">
        <f aca="false">IF(OR(C67="",D67=""),"",C67-D67)</f>
        <v/>
      </c>
      <c r="F67" s="12"/>
      <c r="G67" s="10"/>
      <c r="H67" s="11"/>
      <c r="I67" s="10"/>
      <c r="J67" s="10"/>
      <c r="K67" s="10"/>
    </row>
    <row r="68" customFormat="false" ht="15" hidden="false" customHeight="false" outlineLevel="0" collapsed="false">
      <c r="A68" s="10"/>
      <c r="B68" s="10"/>
      <c r="C68" s="11"/>
      <c r="D68" s="11"/>
      <c r="E68" s="16" t="str">
        <f aca="false">IF(OR(C68="",D68=""),"",C68-D68)</f>
        <v/>
      </c>
      <c r="F68" s="12"/>
      <c r="G68" s="10"/>
      <c r="H68" s="11"/>
      <c r="I68" s="10"/>
      <c r="J68" s="10"/>
      <c r="K68" s="10"/>
    </row>
    <row r="69" customFormat="false" ht="15" hidden="false" customHeight="false" outlineLevel="0" collapsed="false">
      <c r="A69" s="10"/>
      <c r="B69" s="10"/>
      <c r="C69" s="11"/>
      <c r="D69" s="11"/>
      <c r="E69" s="16" t="str">
        <f aca="false">IF(OR(C69="",D69=""),"",C69-D69)</f>
        <v/>
      </c>
      <c r="F69" s="12"/>
      <c r="G69" s="10"/>
      <c r="H69" s="11"/>
      <c r="I69" s="10"/>
      <c r="J69" s="10"/>
      <c r="K69" s="10"/>
    </row>
    <row r="70" customFormat="false" ht="15" hidden="false" customHeight="false" outlineLevel="0" collapsed="false">
      <c r="A70" s="10"/>
      <c r="B70" s="10"/>
      <c r="C70" s="11"/>
      <c r="D70" s="11"/>
      <c r="E70" s="16" t="str">
        <f aca="false">IF(OR(C70="",D70=""),"",C70-D70)</f>
        <v/>
      </c>
      <c r="F70" s="12"/>
      <c r="G70" s="10"/>
      <c r="H70" s="11"/>
      <c r="I70" s="10"/>
      <c r="J70" s="10"/>
      <c r="K70" s="10"/>
    </row>
    <row r="71" customFormat="false" ht="15" hidden="false" customHeight="false" outlineLevel="0" collapsed="false">
      <c r="A71" s="10"/>
      <c r="B71" s="10"/>
      <c r="C71" s="11"/>
      <c r="D71" s="11"/>
      <c r="E71" s="16" t="str">
        <f aca="false">IF(OR(C71="",D71=""),"",C71-D71)</f>
        <v/>
      </c>
      <c r="F71" s="12"/>
      <c r="G71" s="10"/>
      <c r="H71" s="11"/>
      <c r="I71" s="10"/>
      <c r="J71" s="10"/>
      <c r="K71" s="10"/>
    </row>
    <row r="72" customFormat="false" ht="15" hidden="false" customHeight="false" outlineLevel="0" collapsed="false">
      <c r="A72" s="10"/>
      <c r="B72" s="10"/>
      <c r="C72" s="11"/>
      <c r="D72" s="11"/>
      <c r="E72" s="16" t="str">
        <f aca="false">IF(OR(C72="",D72=""),"",C72-D72)</f>
        <v/>
      </c>
      <c r="F72" s="12"/>
      <c r="G72" s="10"/>
      <c r="H72" s="11"/>
      <c r="I72" s="10"/>
      <c r="J72" s="10"/>
      <c r="K72" s="10"/>
    </row>
    <row r="73" customFormat="false" ht="15" hidden="false" customHeight="false" outlineLevel="0" collapsed="false">
      <c r="A73" s="10"/>
      <c r="B73" s="10"/>
      <c r="C73" s="11"/>
      <c r="D73" s="11"/>
      <c r="E73" s="16" t="str">
        <f aca="false">IF(OR(C73="",D73=""),"",C73-D73)</f>
        <v/>
      </c>
      <c r="F73" s="12"/>
      <c r="G73" s="10"/>
      <c r="H73" s="11"/>
      <c r="I73" s="10"/>
      <c r="J73" s="10"/>
      <c r="K73" s="10"/>
    </row>
    <row r="74" customFormat="false" ht="15" hidden="false" customHeight="false" outlineLevel="0" collapsed="false">
      <c r="A74" s="10"/>
      <c r="B74" s="10"/>
      <c r="C74" s="11"/>
      <c r="D74" s="11"/>
      <c r="E74" s="16" t="str">
        <f aca="false">IF(OR(C74="",D74=""),"",C74-D74)</f>
        <v/>
      </c>
      <c r="F74" s="12"/>
      <c r="G74" s="10"/>
      <c r="H74" s="11"/>
      <c r="I74" s="10"/>
      <c r="J74" s="10"/>
      <c r="K74" s="10"/>
    </row>
    <row r="75" customFormat="false" ht="15" hidden="false" customHeight="false" outlineLevel="0" collapsed="false">
      <c r="A75" s="10"/>
      <c r="B75" s="10"/>
      <c r="C75" s="11"/>
      <c r="D75" s="11"/>
      <c r="E75" s="16" t="str">
        <f aca="false">IF(OR(C75="",D75=""),"",C75-D75)</f>
        <v/>
      </c>
      <c r="F75" s="12"/>
      <c r="G75" s="10"/>
      <c r="H75" s="11"/>
      <c r="I75" s="10"/>
      <c r="J75" s="10"/>
      <c r="K75" s="10"/>
    </row>
    <row r="76" customFormat="false" ht="15" hidden="false" customHeight="false" outlineLevel="0" collapsed="false">
      <c r="A76" s="10"/>
      <c r="B76" s="10"/>
      <c r="C76" s="11"/>
      <c r="D76" s="11"/>
      <c r="E76" s="16" t="str">
        <f aca="false">IF(OR(C76="",D76=""),"",C76-D76)</f>
        <v/>
      </c>
      <c r="F76" s="12"/>
      <c r="G76" s="10"/>
      <c r="H76" s="11"/>
      <c r="I76" s="10"/>
      <c r="J76" s="10"/>
      <c r="K76" s="10"/>
    </row>
    <row r="77" customFormat="false" ht="15" hidden="false" customHeight="false" outlineLevel="0" collapsed="false">
      <c r="A77" s="10"/>
      <c r="B77" s="10"/>
      <c r="C77" s="11"/>
      <c r="D77" s="11"/>
      <c r="E77" s="16" t="str">
        <f aca="false">IF(OR(C77="",D77=""),"",C77-D77)</f>
        <v/>
      </c>
      <c r="F77" s="12"/>
      <c r="G77" s="10"/>
      <c r="H77" s="11"/>
      <c r="I77" s="10"/>
      <c r="J77" s="10"/>
      <c r="K77" s="10"/>
    </row>
    <row r="78" customFormat="false" ht="15" hidden="false" customHeight="false" outlineLevel="0" collapsed="false">
      <c r="A78" s="10"/>
      <c r="B78" s="10"/>
      <c r="C78" s="11"/>
      <c r="D78" s="11"/>
      <c r="E78" s="16" t="str">
        <f aca="false">IF(OR(C78="",D78=""),"",C78-D78)</f>
        <v/>
      </c>
      <c r="F78" s="12"/>
      <c r="G78" s="10"/>
      <c r="H78" s="11"/>
      <c r="I78" s="10"/>
      <c r="J78" s="10"/>
      <c r="K78" s="10"/>
    </row>
    <row r="79" customFormat="false" ht="15" hidden="false" customHeight="false" outlineLevel="0" collapsed="false">
      <c r="A79" s="10"/>
      <c r="B79" s="10"/>
      <c r="C79" s="11"/>
      <c r="D79" s="11"/>
      <c r="E79" s="16" t="str">
        <f aca="false">IF(OR(C79="",D79=""),"",C79-D79)</f>
        <v/>
      </c>
      <c r="F79" s="12"/>
      <c r="G79" s="10"/>
      <c r="H79" s="11"/>
      <c r="I79" s="10"/>
      <c r="J79" s="10"/>
      <c r="K79" s="10"/>
    </row>
    <row r="80" customFormat="false" ht="15" hidden="false" customHeight="false" outlineLevel="0" collapsed="false">
      <c r="A80" s="10"/>
      <c r="B80" s="10"/>
      <c r="C80" s="11"/>
      <c r="D80" s="11"/>
      <c r="E80" s="16" t="str">
        <f aca="false">IF(OR(C80="",D80=""),"",C80-D80)</f>
        <v/>
      </c>
      <c r="F80" s="12"/>
      <c r="G80" s="10"/>
      <c r="H80" s="11"/>
      <c r="I80" s="10"/>
      <c r="J80" s="10"/>
      <c r="K80" s="10"/>
    </row>
    <row r="81" customFormat="false" ht="15" hidden="false" customHeight="false" outlineLevel="0" collapsed="false">
      <c r="A81" s="10"/>
      <c r="B81" s="10"/>
      <c r="C81" s="11"/>
      <c r="D81" s="11"/>
      <c r="E81" s="16" t="str">
        <f aca="false">IF(OR(C81="",D81=""),"",C81-D81)</f>
        <v/>
      </c>
      <c r="F81" s="12"/>
      <c r="G81" s="10"/>
      <c r="H81" s="11"/>
      <c r="I81" s="10"/>
      <c r="J81" s="10"/>
      <c r="K81" s="10"/>
    </row>
    <row r="82" customFormat="false" ht="15" hidden="false" customHeight="false" outlineLevel="0" collapsed="false">
      <c r="A82" s="10"/>
      <c r="B82" s="10"/>
      <c r="C82" s="11"/>
      <c r="D82" s="11"/>
      <c r="E82" s="16" t="str">
        <f aca="false">IF(OR(C82="",D82=""),"",C82-D82)</f>
        <v/>
      </c>
      <c r="F82" s="12"/>
      <c r="G82" s="10"/>
      <c r="H82" s="11"/>
      <c r="I82" s="10"/>
      <c r="J82" s="10"/>
      <c r="K82" s="10"/>
    </row>
    <row r="83" customFormat="false" ht="15" hidden="false" customHeight="false" outlineLevel="0" collapsed="false">
      <c r="A83" s="10"/>
      <c r="B83" s="10"/>
      <c r="C83" s="11"/>
      <c r="D83" s="11"/>
      <c r="E83" s="16" t="str">
        <f aca="false">IF(OR(C83="",D83=""),"",C83-D83)</f>
        <v/>
      </c>
      <c r="F83" s="12"/>
      <c r="G83" s="10"/>
      <c r="H83" s="11"/>
      <c r="I83" s="10"/>
      <c r="J83" s="10"/>
      <c r="K83" s="10"/>
    </row>
    <row r="84" customFormat="false" ht="15" hidden="false" customHeight="false" outlineLevel="0" collapsed="false">
      <c r="A84" s="10"/>
      <c r="B84" s="10"/>
      <c r="C84" s="11"/>
      <c r="D84" s="11"/>
      <c r="E84" s="16" t="str">
        <f aca="false">IF(OR(C84="",D84=""),"",C84-D84)</f>
        <v/>
      </c>
      <c r="F84" s="12"/>
      <c r="G84" s="10"/>
      <c r="H84" s="11"/>
      <c r="I84" s="10"/>
      <c r="J84" s="10"/>
      <c r="K84" s="10"/>
    </row>
    <row r="85" customFormat="false" ht="15" hidden="false" customHeight="false" outlineLevel="0" collapsed="false">
      <c r="A85" s="10"/>
      <c r="B85" s="10"/>
      <c r="C85" s="11"/>
      <c r="D85" s="11"/>
      <c r="E85" s="16" t="str">
        <f aca="false">IF(OR(C85="",D85=""),"",C85-D85)</f>
        <v/>
      </c>
      <c r="F85" s="12"/>
      <c r="G85" s="10"/>
      <c r="H85" s="11"/>
      <c r="I85" s="10"/>
      <c r="J85" s="10"/>
      <c r="K85" s="10"/>
    </row>
    <row r="86" customFormat="false" ht="15" hidden="false" customHeight="false" outlineLevel="0" collapsed="false">
      <c r="A86" s="10"/>
      <c r="B86" s="10"/>
      <c r="C86" s="11"/>
      <c r="D86" s="11"/>
      <c r="E86" s="16" t="str">
        <f aca="false">IF(OR(C86="",D86=""),"",C86-D86)</f>
        <v/>
      </c>
      <c r="F86" s="12"/>
      <c r="G86" s="10"/>
      <c r="H86" s="11"/>
      <c r="I86" s="10"/>
      <c r="J86" s="10"/>
      <c r="K86" s="10"/>
    </row>
    <row r="87" customFormat="false" ht="15" hidden="false" customHeight="false" outlineLevel="0" collapsed="false">
      <c r="A87" s="10"/>
      <c r="B87" s="10"/>
      <c r="C87" s="11"/>
      <c r="D87" s="11"/>
      <c r="E87" s="16" t="str">
        <f aca="false">IF(OR(C87="",D87=""),"",C87-D87)</f>
        <v/>
      </c>
      <c r="F87" s="12"/>
      <c r="G87" s="10"/>
      <c r="H87" s="11"/>
      <c r="I87" s="10"/>
      <c r="J87" s="10"/>
      <c r="K87" s="10"/>
    </row>
    <row r="88" customFormat="false" ht="15" hidden="false" customHeight="false" outlineLevel="0" collapsed="false">
      <c r="A88" s="10"/>
      <c r="B88" s="10"/>
      <c r="C88" s="11"/>
      <c r="D88" s="11"/>
      <c r="E88" s="16" t="str">
        <f aca="false">IF(OR(C88="",D88=""),"",C88-D88)</f>
        <v/>
      </c>
      <c r="F88" s="12"/>
      <c r="G88" s="10"/>
      <c r="H88" s="11"/>
      <c r="I88" s="10"/>
      <c r="J88" s="10"/>
      <c r="K88" s="10"/>
    </row>
    <row r="89" customFormat="false" ht="15" hidden="false" customHeight="false" outlineLevel="0" collapsed="false">
      <c r="A89" s="10"/>
      <c r="B89" s="10"/>
      <c r="C89" s="11"/>
      <c r="D89" s="11"/>
      <c r="E89" s="16" t="str">
        <f aca="false">IF(OR(C89="",D89=""),"",C89-D89)</f>
        <v/>
      </c>
      <c r="F89" s="12"/>
      <c r="G89" s="10"/>
      <c r="H89" s="11"/>
      <c r="I89" s="10"/>
      <c r="J89" s="10"/>
      <c r="K89" s="10"/>
    </row>
    <row r="90" customFormat="false" ht="15" hidden="false" customHeight="false" outlineLevel="0" collapsed="false">
      <c r="A90" s="10"/>
      <c r="B90" s="10"/>
      <c r="C90" s="11"/>
      <c r="D90" s="11"/>
      <c r="E90" s="16" t="str">
        <f aca="false">IF(OR(C90="",D90=""),"",C90-D90)</f>
        <v/>
      </c>
      <c r="F90" s="12"/>
      <c r="G90" s="10"/>
      <c r="H90" s="11"/>
      <c r="I90" s="10"/>
      <c r="J90" s="10"/>
      <c r="K90" s="10"/>
    </row>
    <row r="91" customFormat="false" ht="15" hidden="false" customHeight="false" outlineLevel="0" collapsed="false">
      <c r="A91" s="10"/>
      <c r="B91" s="10"/>
      <c r="C91" s="11"/>
      <c r="D91" s="11"/>
      <c r="E91" s="16" t="str">
        <f aca="false">IF(OR(C91="",D91=""),"",C91-D91)</f>
        <v/>
      </c>
      <c r="F91" s="12"/>
      <c r="G91" s="10"/>
      <c r="H91" s="11"/>
      <c r="I91" s="10"/>
      <c r="J91" s="10"/>
      <c r="K91" s="10"/>
    </row>
    <row r="92" customFormat="false" ht="15" hidden="false" customHeight="false" outlineLevel="0" collapsed="false">
      <c r="A92" s="10"/>
      <c r="B92" s="10"/>
      <c r="C92" s="11"/>
      <c r="D92" s="11"/>
      <c r="E92" s="16" t="str">
        <f aca="false">IF(OR(C92="",D92=""),"",C92-D92)</f>
        <v/>
      </c>
      <c r="F92" s="12"/>
      <c r="G92" s="10"/>
      <c r="H92" s="11"/>
      <c r="I92" s="10"/>
      <c r="J92" s="10"/>
      <c r="K92" s="10"/>
    </row>
    <row r="93" customFormat="false" ht="15" hidden="false" customHeight="false" outlineLevel="0" collapsed="false">
      <c r="A93" s="10"/>
      <c r="B93" s="10"/>
      <c r="C93" s="11"/>
      <c r="D93" s="11"/>
      <c r="E93" s="16" t="str">
        <f aca="false">IF(OR(C93="",D93=""),"",C93-D93)</f>
        <v/>
      </c>
      <c r="F93" s="12"/>
      <c r="G93" s="10"/>
      <c r="H93" s="11"/>
      <c r="I93" s="10"/>
      <c r="J93" s="10"/>
      <c r="K93" s="10"/>
    </row>
    <row r="94" customFormat="false" ht="15" hidden="false" customHeight="false" outlineLevel="0" collapsed="false">
      <c r="A94" s="10"/>
      <c r="B94" s="10"/>
      <c r="C94" s="11"/>
      <c r="D94" s="11"/>
      <c r="E94" s="16" t="str">
        <f aca="false">IF(OR(C94="",D94=""),"",C94-D94)</f>
        <v/>
      </c>
      <c r="F94" s="12"/>
      <c r="G94" s="10"/>
      <c r="H94" s="11"/>
      <c r="I94" s="10"/>
      <c r="J94" s="10"/>
      <c r="K94" s="10"/>
    </row>
    <row r="95" customFormat="false" ht="15" hidden="false" customHeight="false" outlineLevel="0" collapsed="false">
      <c r="A95" s="10"/>
      <c r="B95" s="10"/>
      <c r="C95" s="11"/>
      <c r="D95" s="11"/>
      <c r="E95" s="16" t="str">
        <f aca="false">IF(OR(C95="",D95=""),"",C95-D95)</f>
        <v/>
      </c>
      <c r="F95" s="12"/>
      <c r="G95" s="10"/>
      <c r="H95" s="11"/>
      <c r="I95" s="10"/>
      <c r="J95" s="10"/>
      <c r="K95" s="10"/>
    </row>
    <row r="96" customFormat="false" ht="15" hidden="false" customHeight="false" outlineLevel="0" collapsed="false">
      <c r="A96" s="10"/>
      <c r="B96" s="10"/>
      <c r="C96" s="11"/>
      <c r="D96" s="11"/>
      <c r="E96" s="16" t="str">
        <f aca="false">IF(OR(C96="",D96=""),"",C96-D96)</f>
        <v/>
      </c>
      <c r="F96" s="12"/>
      <c r="G96" s="10"/>
      <c r="H96" s="11"/>
      <c r="I96" s="10"/>
      <c r="J96" s="10"/>
      <c r="K96" s="10"/>
    </row>
    <row r="97" customFormat="false" ht="15" hidden="false" customHeight="false" outlineLevel="0" collapsed="false">
      <c r="A97" s="10"/>
      <c r="B97" s="10"/>
      <c r="C97" s="11"/>
      <c r="D97" s="11"/>
      <c r="E97" s="16" t="str">
        <f aca="false">IF(OR(C97="",D97=""),"",C97-D97)</f>
        <v/>
      </c>
      <c r="F97" s="12"/>
      <c r="G97" s="10"/>
      <c r="H97" s="11"/>
      <c r="I97" s="10"/>
      <c r="J97" s="10"/>
      <c r="K97" s="10"/>
    </row>
    <row r="98" customFormat="false" ht="15" hidden="false" customHeight="false" outlineLevel="0" collapsed="false">
      <c r="A98" s="10"/>
      <c r="B98" s="10"/>
      <c r="C98" s="11"/>
      <c r="D98" s="11"/>
      <c r="E98" s="16" t="str">
        <f aca="false">IF(OR(C98="",D98=""),"",C98-D98)</f>
        <v/>
      </c>
      <c r="F98" s="12"/>
      <c r="G98" s="10"/>
      <c r="H98" s="11"/>
      <c r="I98" s="10"/>
      <c r="J98" s="10"/>
      <c r="K98" s="10"/>
    </row>
    <row r="99" customFormat="false" ht="15" hidden="false" customHeight="false" outlineLevel="0" collapsed="false">
      <c r="A99" s="10"/>
      <c r="B99" s="10"/>
      <c r="C99" s="11"/>
      <c r="D99" s="11"/>
      <c r="E99" s="16" t="str">
        <f aca="false">IF(OR(C99="",D99=""),"",C99-D99)</f>
        <v/>
      </c>
      <c r="F99" s="12"/>
      <c r="G99" s="10"/>
      <c r="H99" s="11"/>
      <c r="I99" s="10"/>
      <c r="J99" s="10"/>
      <c r="K99" s="10"/>
    </row>
    <row r="100" customFormat="false" ht="15" hidden="false" customHeight="false" outlineLevel="0" collapsed="false">
      <c r="A100" s="10"/>
      <c r="B100" s="10"/>
      <c r="C100" s="11"/>
      <c r="D100" s="11"/>
      <c r="E100" s="16" t="str">
        <f aca="false">IF(OR(C100="",D100=""),"",C100-D100)</f>
        <v/>
      </c>
      <c r="F100" s="12"/>
      <c r="G100" s="10"/>
      <c r="H100" s="11"/>
      <c r="I100" s="10"/>
      <c r="J100" s="10"/>
      <c r="K100" s="10"/>
    </row>
    <row r="101" customFormat="false" ht="15" hidden="false" customHeight="false" outlineLevel="0" collapsed="false">
      <c r="A101" s="10"/>
      <c r="B101" s="10"/>
      <c r="C101" s="11"/>
      <c r="D101" s="11"/>
      <c r="E101" s="16" t="str">
        <f aca="false">IF(OR(C101="",D101=""),"",C101-D101)</f>
        <v/>
      </c>
      <c r="F101" s="12"/>
      <c r="G101" s="10"/>
      <c r="H101" s="11"/>
      <c r="I101" s="10"/>
      <c r="J101" s="10"/>
      <c r="K101" s="10"/>
    </row>
    <row r="102" customFormat="false" ht="15" hidden="false" customHeight="false" outlineLevel="0" collapsed="false">
      <c r="A102" s="10"/>
      <c r="B102" s="10"/>
      <c r="C102" s="11"/>
      <c r="D102" s="11"/>
      <c r="E102" s="16" t="str">
        <f aca="false">IF(OR(C102="",D102=""),"",C102-D102)</f>
        <v/>
      </c>
      <c r="F102" s="12"/>
      <c r="G102" s="10"/>
      <c r="H102" s="11"/>
      <c r="I102" s="10"/>
      <c r="J102" s="10"/>
      <c r="K102" s="10"/>
    </row>
    <row r="103" customFormat="false" ht="15" hidden="false" customHeight="false" outlineLevel="0" collapsed="false">
      <c r="A103" s="10"/>
      <c r="B103" s="10"/>
      <c r="C103" s="11"/>
      <c r="D103" s="11"/>
      <c r="E103" s="16" t="str">
        <f aca="false">IF(OR(C103="",D103=""),"",C103-D103)</f>
        <v/>
      </c>
      <c r="F103" s="12"/>
      <c r="G103" s="10"/>
      <c r="H103" s="11"/>
      <c r="I103" s="10"/>
      <c r="J103" s="10"/>
      <c r="K103" s="10"/>
    </row>
    <row r="104" customFormat="false" ht="15" hidden="false" customHeight="false" outlineLevel="0" collapsed="false">
      <c r="A104" s="10"/>
      <c r="B104" s="10"/>
      <c r="C104" s="11"/>
      <c r="D104" s="11"/>
      <c r="E104" s="16" t="str">
        <f aca="false">IF(OR(C104="",D104=""),"",C104-D104)</f>
        <v/>
      </c>
      <c r="F104" s="12"/>
      <c r="G104" s="10"/>
      <c r="H104" s="11"/>
      <c r="I104" s="10"/>
      <c r="J104" s="10"/>
      <c r="K104" s="10"/>
    </row>
    <row r="105" customFormat="false" ht="15" hidden="false" customHeight="false" outlineLevel="0" collapsed="false">
      <c r="A105" s="10"/>
      <c r="B105" s="10"/>
      <c r="C105" s="11"/>
      <c r="D105" s="11"/>
      <c r="E105" s="16" t="str">
        <f aca="false">IF(OR(C105="",D105=""),"",C105-D105)</f>
        <v/>
      </c>
      <c r="F105" s="12"/>
      <c r="G105" s="10"/>
      <c r="H105" s="11"/>
      <c r="I105" s="10"/>
      <c r="J105" s="10"/>
      <c r="K105" s="10"/>
    </row>
    <row r="106" customFormat="false" ht="15" hidden="false" customHeight="false" outlineLevel="0" collapsed="false">
      <c r="A106" s="10"/>
      <c r="B106" s="10"/>
      <c r="C106" s="11"/>
      <c r="D106" s="11"/>
      <c r="E106" s="16" t="str">
        <f aca="false">IF(OR(C106="",D106=""),"",C106-D106)</f>
        <v/>
      </c>
      <c r="F106" s="12"/>
      <c r="G106" s="10"/>
      <c r="H106" s="11"/>
      <c r="I106" s="10"/>
      <c r="J106" s="10"/>
      <c r="K106" s="10"/>
    </row>
    <row r="107" customFormat="false" ht="15" hidden="false" customHeight="false" outlineLevel="0" collapsed="false">
      <c r="A107" s="10"/>
      <c r="B107" s="10"/>
      <c r="C107" s="11"/>
      <c r="D107" s="11"/>
      <c r="E107" s="16" t="str">
        <f aca="false">IF(OR(C107="",D107=""),"",C107-D107)</f>
        <v/>
      </c>
      <c r="F107" s="12"/>
      <c r="G107" s="10"/>
      <c r="H107" s="11"/>
      <c r="I107" s="10"/>
      <c r="J107" s="10"/>
      <c r="K107" s="10"/>
    </row>
    <row r="108" customFormat="false" ht="15" hidden="false" customHeight="false" outlineLevel="0" collapsed="false">
      <c r="A108" s="10"/>
      <c r="B108" s="10"/>
      <c r="C108" s="11"/>
      <c r="D108" s="11"/>
      <c r="E108" s="16" t="str">
        <f aca="false">IF(OR(C108="",D108=""),"",C108-D108)</f>
        <v/>
      </c>
      <c r="F108" s="12"/>
      <c r="G108" s="10"/>
      <c r="H108" s="11"/>
      <c r="I108" s="10"/>
      <c r="J108" s="10"/>
      <c r="K108" s="10"/>
    </row>
    <row r="109" customFormat="false" ht="15" hidden="false" customHeight="false" outlineLevel="0" collapsed="false">
      <c r="A109" s="10"/>
      <c r="B109" s="10"/>
      <c r="C109" s="11"/>
      <c r="D109" s="11"/>
      <c r="E109" s="16" t="str">
        <f aca="false">IF(OR(C109="",D109=""),"",C109-D109)</f>
        <v/>
      </c>
      <c r="F109" s="12"/>
      <c r="G109" s="10"/>
      <c r="H109" s="11"/>
      <c r="I109" s="10"/>
      <c r="J109" s="10"/>
      <c r="K109" s="10"/>
    </row>
    <row r="110" customFormat="false" ht="15" hidden="false" customHeight="false" outlineLevel="0" collapsed="false">
      <c r="A110" s="10"/>
      <c r="B110" s="10"/>
      <c r="C110" s="11"/>
      <c r="D110" s="11"/>
      <c r="E110" s="16" t="str">
        <f aca="false">IF(OR(C110="",D110=""),"",C110-D110)</f>
        <v/>
      </c>
      <c r="F110" s="12"/>
      <c r="G110" s="10"/>
      <c r="H110" s="11"/>
      <c r="I110" s="10"/>
      <c r="J110" s="10"/>
      <c r="K110" s="10"/>
    </row>
    <row r="111" customFormat="false" ht="15" hidden="false" customHeight="false" outlineLevel="0" collapsed="false">
      <c r="A111" s="10"/>
      <c r="B111" s="10"/>
      <c r="C111" s="11"/>
      <c r="D111" s="11"/>
      <c r="E111" s="16" t="str">
        <f aca="false">IF(OR(C111="",D111=""),"",C111-D111)</f>
        <v/>
      </c>
      <c r="F111" s="12"/>
      <c r="G111" s="10"/>
      <c r="H111" s="11"/>
      <c r="I111" s="10"/>
      <c r="J111" s="10"/>
      <c r="K111" s="10"/>
    </row>
    <row r="112" customFormat="false" ht="15" hidden="false" customHeight="false" outlineLevel="0" collapsed="false">
      <c r="A112" s="10"/>
      <c r="B112" s="10"/>
      <c r="C112" s="11"/>
      <c r="D112" s="11"/>
      <c r="E112" s="16" t="str">
        <f aca="false">IF(OR(C112="",D112=""),"",C112-D112)</f>
        <v/>
      </c>
      <c r="F112" s="12"/>
      <c r="G112" s="10"/>
      <c r="H112" s="11"/>
      <c r="I112" s="10"/>
      <c r="J112" s="10"/>
      <c r="K112" s="10"/>
    </row>
    <row r="113" customFormat="false" ht="15" hidden="false" customHeight="false" outlineLevel="0" collapsed="false">
      <c r="A113" s="10"/>
      <c r="B113" s="10"/>
      <c r="C113" s="11"/>
      <c r="D113" s="11"/>
      <c r="E113" s="16" t="str">
        <f aca="false">IF(OR(C113="",D113=""),"",C113-D113)</f>
        <v/>
      </c>
      <c r="F113" s="12"/>
      <c r="G113" s="10"/>
      <c r="H113" s="11"/>
      <c r="I113" s="10"/>
      <c r="J113" s="10"/>
      <c r="K113" s="10"/>
    </row>
    <row r="114" customFormat="false" ht="15" hidden="false" customHeight="false" outlineLevel="0" collapsed="false">
      <c r="A114" s="10"/>
      <c r="B114" s="10"/>
      <c r="C114" s="11"/>
      <c r="D114" s="11"/>
      <c r="E114" s="16" t="str">
        <f aca="false">IF(OR(C114="",D114=""),"",C114-D114)</f>
        <v/>
      </c>
      <c r="F114" s="12"/>
      <c r="G114" s="10"/>
      <c r="H114" s="11"/>
      <c r="I114" s="10"/>
      <c r="J114" s="10"/>
      <c r="K114" s="10"/>
    </row>
    <row r="115" customFormat="false" ht="15" hidden="false" customHeight="false" outlineLevel="0" collapsed="false">
      <c r="A115" s="10"/>
      <c r="B115" s="10"/>
      <c r="C115" s="11"/>
      <c r="D115" s="11"/>
      <c r="E115" s="16" t="str">
        <f aca="false">IF(OR(C115="",D115=""),"",C115-D115)</f>
        <v/>
      </c>
      <c r="F115" s="12"/>
      <c r="G115" s="10"/>
      <c r="H115" s="11"/>
      <c r="I115" s="10"/>
      <c r="J115" s="10"/>
      <c r="K115" s="10"/>
    </row>
    <row r="116" customFormat="false" ht="15" hidden="false" customHeight="false" outlineLevel="0" collapsed="false">
      <c r="A116" s="10"/>
      <c r="B116" s="10"/>
      <c r="C116" s="11"/>
      <c r="D116" s="11"/>
      <c r="E116" s="16" t="str">
        <f aca="false">IF(OR(C116="",D116=""),"",C116-D116)</f>
        <v/>
      </c>
      <c r="F116" s="12"/>
      <c r="G116" s="10"/>
      <c r="H116" s="11"/>
      <c r="I116" s="10"/>
      <c r="J116" s="10"/>
      <c r="K116" s="10"/>
    </row>
    <row r="117" customFormat="false" ht="15" hidden="false" customHeight="false" outlineLevel="0" collapsed="false">
      <c r="A117" s="10"/>
      <c r="B117" s="10"/>
      <c r="C117" s="11"/>
      <c r="D117" s="11"/>
      <c r="E117" s="16" t="str">
        <f aca="false">IF(OR(C117="",D117=""),"",C117-D117)</f>
        <v/>
      </c>
      <c r="F117" s="12"/>
      <c r="G117" s="10"/>
      <c r="H117" s="11"/>
      <c r="I117" s="10"/>
      <c r="J117" s="10"/>
      <c r="K117" s="10"/>
    </row>
    <row r="118" customFormat="false" ht="15" hidden="false" customHeight="false" outlineLevel="0" collapsed="false">
      <c r="A118" s="10"/>
      <c r="B118" s="10"/>
      <c r="C118" s="11"/>
      <c r="D118" s="11"/>
      <c r="E118" s="16" t="str">
        <f aca="false">IF(OR(C118="",D118=""),"",C118-D118)</f>
        <v/>
      </c>
      <c r="F118" s="12"/>
      <c r="G118" s="10"/>
      <c r="H118" s="11"/>
      <c r="I118" s="10"/>
      <c r="J118" s="10"/>
      <c r="K118" s="10"/>
    </row>
    <row r="119" customFormat="false" ht="15" hidden="false" customHeight="false" outlineLevel="0" collapsed="false">
      <c r="A119" s="10"/>
      <c r="B119" s="10"/>
      <c r="C119" s="11"/>
      <c r="D119" s="11"/>
      <c r="E119" s="16" t="str">
        <f aca="false">IF(OR(C119="",D119=""),"",C119-D119)</f>
        <v/>
      </c>
      <c r="F119" s="12"/>
      <c r="G119" s="10"/>
      <c r="H119" s="11"/>
      <c r="I119" s="10"/>
      <c r="J119" s="10"/>
      <c r="K119" s="10"/>
    </row>
    <row r="120" customFormat="false" ht="15" hidden="false" customHeight="false" outlineLevel="0" collapsed="false">
      <c r="A120" s="10"/>
      <c r="B120" s="10"/>
      <c r="C120" s="11"/>
      <c r="D120" s="11"/>
      <c r="E120" s="16" t="str">
        <f aca="false">IF(OR(C120="",D120=""),"",C120-D120)</f>
        <v/>
      </c>
      <c r="F120" s="12"/>
      <c r="G120" s="10"/>
      <c r="H120" s="11"/>
      <c r="I120" s="10"/>
      <c r="J120" s="10"/>
      <c r="K120" s="10"/>
    </row>
    <row r="121" customFormat="false" ht="15" hidden="false" customHeight="false" outlineLevel="0" collapsed="false">
      <c r="A121" s="10"/>
      <c r="B121" s="10"/>
      <c r="C121" s="11"/>
      <c r="D121" s="11"/>
      <c r="E121" s="16" t="str">
        <f aca="false">IF(OR(C121="",D121=""),"",C121-D121)</f>
        <v/>
      </c>
      <c r="F121" s="12"/>
      <c r="G121" s="10"/>
      <c r="H121" s="11"/>
      <c r="I121" s="10"/>
      <c r="J121" s="10"/>
      <c r="K121" s="10"/>
    </row>
    <row r="122" customFormat="false" ht="15" hidden="false" customHeight="false" outlineLevel="0" collapsed="false">
      <c r="A122" s="10"/>
      <c r="B122" s="10"/>
      <c r="C122" s="11"/>
      <c r="D122" s="11"/>
      <c r="E122" s="16" t="str">
        <f aca="false">IF(OR(C122="",D122=""),"",C122-D122)</f>
        <v/>
      </c>
      <c r="F122" s="12"/>
      <c r="G122" s="10"/>
      <c r="H122" s="11"/>
      <c r="I122" s="10"/>
      <c r="J122" s="10"/>
      <c r="K122" s="10"/>
    </row>
    <row r="123" customFormat="false" ht="15" hidden="false" customHeight="false" outlineLevel="0" collapsed="false">
      <c r="A123" s="10"/>
      <c r="B123" s="10"/>
      <c r="C123" s="11"/>
      <c r="D123" s="11"/>
      <c r="E123" s="16" t="str">
        <f aca="false">IF(OR(C123="",D123=""),"",C123-D123)</f>
        <v/>
      </c>
      <c r="F123" s="12"/>
      <c r="G123" s="10"/>
      <c r="H123" s="11"/>
      <c r="I123" s="10"/>
      <c r="J123" s="10"/>
      <c r="K123" s="10"/>
    </row>
    <row r="124" customFormat="false" ht="15" hidden="false" customHeight="false" outlineLevel="0" collapsed="false">
      <c r="A124" s="10"/>
      <c r="B124" s="10"/>
      <c r="C124" s="11"/>
      <c r="D124" s="11"/>
      <c r="E124" s="16" t="str">
        <f aca="false">IF(OR(C124="",D124=""),"",C124-D124)</f>
        <v/>
      </c>
      <c r="F124" s="12"/>
      <c r="G124" s="10"/>
      <c r="H124" s="11"/>
      <c r="I124" s="10"/>
      <c r="J124" s="10"/>
      <c r="K124" s="10"/>
    </row>
    <row r="125" customFormat="false" ht="15" hidden="false" customHeight="false" outlineLevel="0" collapsed="false">
      <c r="A125" s="10"/>
      <c r="B125" s="10"/>
      <c r="C125" s="11"/>
      <c r="D125" s="11"/>
      <c r="E125" s="16" t="str">
        <f aca="false">IF(OR(C125="",D125=""),"",C125-D125)</f>
        <v/>
      </c>
      <c r="F125" s="12"/>
      <c r="G125" s="10"/>
      <c r="H125" s="11"/>
      <c r="I125" s="10"/>
      <c r="J125" s="10"/>
      <c r="K125" s="10"/>
    </row>
    <row r="126" customFormat="false" ht="15" hidden="false" customHeight="false" outlineLevel="0" collapsed="false">
      <c r="A126" s="10"/>
      <c r="B126" s="10"/>
      <c r="C126" s="11"/>
      <c r="D126" s="11"/>
      <c r="E126" s="16" t="str">
        <f aca="false">IF(OR(C126="",D126=""),"",C126-D126)</f>
        <v/>
      </c>
      <c r="F126" s="12"/>
      <c r="G126" s="10"/>
      <c r="H126" s="11"/>
      <c r="I126" s="10"/>
      <c r="J126" s="10"/>
      <c r="K126" s="10"/>
    </row>
    <row r="127" customFormat="false" ht="15" hidden="false" customHeight="false" outlineLevel="0" collapsed="false">
      <c r="A127" s="10"/>
      <c r="B127" s="10"/>
      <c r="C127" s="11"/>
      <c r="D127" s="11"/>
      <c r="E127" s="16" t="str">
        <f aca="false">IF(OR(C127="",D127=""),"",C127-D127)</f>
        <v/>
      </c>
      <c r="F127" s="12"/>
      <c r="G127" s="10"/>
      <c r="H127" s="11"/>
      <c r="I127" s="10"/>
      <c r="J127" s="10"/>
      <c r="K127" s="10"/>
    </row>
    <row r="128" customFormat="false" ht="15" hidden="false" customHeight="false" outlineLevel="0" collapsed="false">
      <c r="A128" s="10"/>
      <c r="B128" s="10"/>
      <c r="C128" s="11"/>
      <c r="D128" s="11"/>
      <c r="E128" s="16" t="str">
        <f aca="false">IF(OR(C128="",D128=""),"",C128-D128)</f>
        <v/>
      </c>
      <c r="F128" s="12"/>
      <c r="G128" s="10"/>
      <c r="H128" s="11"/>
      <c r="I128" s="10"/>
      <c r="J128" s="10"/>
      <c r="K128" s="10"/>
    </row>
    <row r="129" customFormat="false" ht="15" hidden="false" customHeight="false" outlineLevel="0" collapsed="false">
      <c r="A129" s="10"/>
      <c r="B129" s="10"/>
      <c r="C129" s="11"/>
      <c r="D129" s="11"/>
      <c r="E129" s="16" t="str">
        <f aca="false">IF(OR(C129="",D129=""),"",C129-D129)</f>
        <v/>
      </c>
      <c r="F129" s="12"/>
      <c r="G129" s="10"/>
      <c r="H129" s="11"/>
      <c r="I129" s="10"/>
      <c r="J129" s="10"/>
      <c r="K129" s="10"/>
    </row>
    <row r="130" customFormat="false" ht="15" hidden="false" customHeight="false" outlineLevel="0" collapsed="false">
      <c r="A130" s="10"/>
      <c r="B130" s="10"/>
      <c r="C130" s="11"/>
      <c r="D130" s="11"/>
      <c r="E130" s="16" t="str">
        <f aca="false">IF(OR(C130="",D130=""),"",C130-D130)</f>
        <v/>
      </c>
      <c r="F130" s="12"/>
      <c r="G130" s="10"/>
      <c r="H130" s="11"/>
      <c r="I130" s="10"/>
      <c r="J130" s="10"/>
      <c r="K130" s="10"/>
    </row>
    <row r="131" customFormat="false" ht="15" hidden="false" customHeight="false" outlineLevel="0" collapsed="false">
      <c r="A131" s="10"/>
      <c r="B131" s="10"/>
      <c r="C131" s="11"/>
      <c r="D131" s="11"/>
      <c r="E131" s="16" t="str">
        <f aca="false">IF(OR(C131="",D131=""),"",C131-D131)</f>
        <v/>
      </c>
      <c r="F131" s="12"/>
      <c r="G131" s="10"/>
      <c r="H131" s="11"/>
      <c r="I131" s="10"/>
      <c r="J131" s="10"/>
      <c r="K131" s="10"/>
    </row>
    <row r="132" customFormat="false" ht="15" hidden="false" customHeight="false" outlineLevel="0" collapsed="false">
      <c r="A132" s="10"/>
      <c r="B132" s="10"/>
      <c r="C132" s="11"/>
      <c r="D132" s="11"/>
      <c r="E132" s="16" t="str">
        <f aca="false">IF(OR(C132="",D132=""),"",C132-D132)</f>
        <v/>
      </c>
      <c r="F132" s="12"/>
      <c r="G132" s="10"/>
      <c r="H132" s="11"/>
      <c r="I132" s="10"/>
      <c r="J132" s="10"/>
      <c r="K132" s="10"/>
    </row>
    <row r="133" customFormat="false" ht="15" hidden="false" customHeight="false" outlineLevel="0" collapsed="false">
      <c r="A133" s="10"/>
      <c r="B133" s="10"/>
      <c r="C133" s="11"/>
      <c r="D133" s="11"/>
      <c r="E133" s="16" t="str">
        <f aca="false">IF(OR(C133="",D133=""),"",C133-D133)</f>
        <v/>
      </c>
      <c r="F133" s="12"/>
      <c r="G133" s="10"/>
      <c r="H133" s="11"/>
      <c r="I133" s="10"/>
      <c r="J133" s="10"/>
      <c r="K133" s="10"/>
    </row>
    <row r="134" customFormat="false" ht="15" hidden="false" customHeight="false" outlineLevel="0" collapsed="false">
      <c r="A134" s="10"/>
      <c r="B134" s="10"/>
      <c r="C134" s="11"/>
      <c r="D134" s="11"/>
      <c r="E134" s="16" t="str">
        <f aca="false">IF(OR(C134="",D134=""),"",C134-D134)</f>
        <v/>
      </c>
      <c r="F134" s="12"/>
      <c r="G134" s="10"/>
      <c r="H134" s="11"/>
      <c r="I134" s="10"/>
      <c r="J134" s="10"/>
      <c r="K134" s="10"/>
    </row>
    <row r="135" customFormat="false" ht="15" hidden="false" customHeight="false" outlineLevel="0" collapsed="false">
      <c r="A135" s="10"/>
      <c r="B135" s="10"/>
      <c r="C135" s="11"/>
      <c r="D135" s="11"/>
      <c r="E135" s="16" t="str">
        <f aca="false">IF(OR(C135="",D135=""),"",C135-D135)</f>
        <v/>
      </c>
      <c r="F135" s="12"/>
      <c r="G135" s="10"/>
      <c r="H135" s="11"/>
      <c r="I135" s="10"/>
      <c r="J135" s="10"/>
      <c r="K135" s="10"/>
    </row>
    <row r="136" customFormat="false" ht="15" hidden="false" customHeight="false" outlineLevel="0" collapsed="false">
      <c r="A136" s="10"/>
      <c r="B136" s="10"/>
      <c r="C136" s="11"/>
      <c r="D136" s="11"/>
      <c r="E136" s="16" t="str">
        <f aca="false">IF(OR(C136="",D136=""),"",C136-D136)</f>
        <v/>
      </c>
      <c r="F136" s="12"/>
      <c r="G136" s="10"/>
      <c r="H136" s="11"/>
      <c r="I136" s="10"/>
      <c r="J136" s="10"/>
      <c r="K136" s="10"/>
    </row>
    <row r="137" customFormat="false" ht="15" hidden="false" customHeight="false" outlineLevel="0" collapsed="false">
      <c r="A137" s="10"/>
      <c r="B137" s="10"/>
      <c r="C137" s="11"/>
      <c r="D137" s="11"/>
      <c r="E137" s="16" t="str">
        <f aca="false">IF(OR(C137="",D137=""),"",C137-D137)</f>
        <v/>
      </c>
      <c r="F137" s="12"/>
      <c r="G137" s="10"/>
      <c r="H137" s="11"/>
      <c r="I137" s="10"/>
      <c r="J137" s="10"/>
      <c r="K137" s="10"/>
    </row>
    <row r="138" customFormat="false" ht="15" hidden="false" customHeight="false" outlineLevel="0" collapsed="false">
      <c r="A138" s="10"/>
      <c r="B138" s="10"/>
      <c r="C138" s="11"/>
      <c r="D138" s="11"/>
      <c r="E138" s="16" t="str">
        <f aca="false">IF(OR(C138="",D138=""),"",C138-D138)</f>
        <v/>
      </c>
      <c r="F138" s="12"/>
      <c r="G138" s="10"/>
      <c r="H138" s="11"/>
      <c r="I138" s="10"/>
      <c r="J138" s="10"/>
      <c r="K138" s="10"/>
    </row>
    <row r="139" customFormat="false" ht="15" hidden="false" customHeight="false" outlineLevel="0" collapsed="false">
      <c r="A139" s="10"/>
      <c r="B139" s="10"/>
      <c r="C139" s="11"/>
      <c r="D139" s="11"/>
      <c r="E139" s="16" t="str">
        <f aca="false">IF(OR(C139="",D139=""),"",C139-D139)</f>
        <v/>
      </c>
      <c r="F139" s="12"/>
      <c r="G139" s="10"/>
      <c r="H139" s="11"/>
      <c r="I139" s="10"/>
      <c r="J139" s="10"/>
      <c r="K139" s="10"/>
    </row>
    <row r="140" customFormat="false" ht="15" hidden="false" customHeight="false" outlineLevel="0" collapsed="false">
      <c r="A140" s="10"/>
      <c r="B140" s="10"/>
      <c r="C140" s="11"/>
      <c r="D140" s="11"/>
      <c r="E140" s="16" t="str">
        <f aca="false">IF(OR(C140="",D140=""),"",C140-D140)</f>
        <v/>
      </c>
      <c r="F140" s="12"/>
      <c r="G140" s="10"/>
      <c r="H140" s="11"/>
      <c r="I140" s="10"/>
      <c r="J140" s="10"/>
      <c r="K140" s="10"/>
    </row>
    <row r="141" customFormat="false" ht="15" hidden="false" customHeight="false" outlineLevel="0" collapsed="false">
      <c r="A141" s="10"/>
      <c r="B141" s="10"/>
      <c r="C141" s="11"/>
      <c r="D141" s="11"/>
      <c r="E141" s="16" t="str">
        <f aca="false">IF(OR(C141="",D141=""),"",C141-D141)</f>
        <v/>
      </c>
      <c r="F141" s="12"/>
      <c r="G141" s="10"/>
      <c r="H141" s="11"/>
      <c r="I141" s="10"/>
      <c r="J141" s="10"/>
      <c r="K141" s="10"/>
    </row>
    <row r="142" customFormat="false" ht="15" hidden="false" customHeight="false" outlineLevel="0" collapsed="false">
      <c r="A142" s="10"/>
      <c r="B142" s="10"/>
      <c r="C142" s="11"/>
      <c r="D142" s="11"/>
      <c r="E142" s="16" t="str">
        <f aca="false">IF(OR(C142="",D142=""),"",C142-D142)</f>
        <v/>
      </c>
      <c r="F142" s="12"/>
      <c r="G142" s="10"/>
      <c r="H142" s="11"/>
      <c r="I142" s="10"/>
      <c r="J142" s="10"/>
      <c r="K142" s="10"/>
    </row>
    <row r="143" customFormat="false" ht="15" hidden="false" customHeight="false" outlineLevel="0" collapsed="false">
      <c r="A143" s="10"/>
      <c r="B143" s="10"/>
      <c r="C143" s="11"/>
      <c r="D143" s="11"/>
      <c r="E143" s="16" t="str">
        <f aca="false">IF(OR(C143="",D143=""),"",C143-D143)</f>
        <v/>
      </c>
      <c r="F143" s="12"/>
      <c r="G143" s="10"/>
      <c r="H143" s="11"/>
      <c r="I143" s="10"/>
      <c r="J143" s="10"/>
      <c r="K143" s="10"/>
    </row>
    <row r="144" customFormat="false" ht="15" hidden="false" customHeight="false" outlineLevel="0" collapsed="false">
      <c r="A144" s="10"/>
      <c r="B144" s="10"/>
      <c r="C144" s="11"/>
      <c r="D144" s="11"/>
      <c r="E144" s="16" t="str">
        <f aca="false">IF(OR(C144="",D144=""),"",C144-D144)</f>
        <v/>
      </c>
      <c r="F144" s="12"/>
      <c r="G144" s="10"/>
      <c r="H144" s="11"/>
      <c r="I144" s="10"/>
      <c r="J144" s="10"/>
      <c r="K144" s="10"/>
    </row>
    <row r="145" customFormat="false" ht="15" hidden="false" customHeight="false" outlineLevel="0" collapsed="false">
      <c r="A145" s="10"/>
      <c r="B145" s="10"/>
      <c r="C145" s="11"/>
      <c r="D145" s="11"/>
      <c r="E145" s="16" t="str">
        <f aca="false">IF(OR(C145="",D145=""),"",C145-D145)</f>
        <v/>
      </c>
      <c r="F145" s="12"/>
      <c r="G145" s="10"/>
      <c r="H145" s="11"/>
      <c r="I145" s="10"/>
      <c r="J145" s="10"/>
      <c r="K145" s="10"/>
    </row>
    <row r="146" customFormat="false" ht="15" hidden="false" customHeight="false" outlineLevel="0" collapsed="false">
      <c r="A146" s="10"/>
      <c r="B146" s="10"/>
      <c r="C146" s="11"/>
      <c r="D146" s="11"/>
      <c r="E146" s="16" t="str">
        <f aca="false">IF(OR(C146="",D146=""),"",C146-D146)</f>
        <v/>
      </c>
      <c r="F146" s="12"/>
      <c r="G146" s="10"/>
      <c r="H146" s="11"/>
      <c r="I146" s="10"/>
      <c r="J146" s="10"/>
      <c r="K146" s="10"/>
    </row>
    <row r="147" customFormat="false" ht="15" hidden="false" customHeight="false" outlineLevel="0" collapsed="false">
      <c r="A147" s="10"/>
      <c r="B147" s="10"/>
      <c r="C147" s="11"/>
      <c r="D147" s="11"/>
      <c r="E147" s="16" t="str">
        <f aca="false">IF(OR(C147="",D147=""),"",C147-D147)</f>
        <v/>
      </c>
      <c r="F147" s="12"/>
      <c r="G147" s="10"/>
      <c r="H147" s="11"/>
      <c r="I147" s="10"/>
      <c r="J147" s="10"/>
      <c r="K147" s="10"/>
    </row>
    <row r="148" customFormat="false" ht="15" hidden="false" customHeight="false" outlineLevel="0" collapsed="false">
      <c r="A148" s="10"/>
      <c r="B148" s="10"/>
      <c r="C148" s="11"/>
      <c r="D148" s="11"/>
      <c r="E148" s="16" t="str">
        <f aca="false">IF(OR(C148="",D148=""),"",C148-D148)</f>
        <v/>
      </c>
      <c r="F148" s="12"/>
      <c r="G148" s="10"/>
      <c r="H148" s="11"/>
      <c r="I148" s="10"/>
      <c r="J148" s="10"/>
      <c r="K148" s="10"/>
    </row>
    <row r="149" customFormat="false" ht="15" hidden="false" customHeight="false" outlineLevel="0" collapsed="false">
      <c r="A149" s="10"/>
      <c r="B149" s="10"/>
      <c r="C149" s="11"/>
      <c r="D149" s="11"/>
      <c r="E149" s="16" t="str">
        <f aca="false">IF(OR(C149="",D149=""),"",C149-D149)</f>
        <v/>
      </c>
      <c r="F149" s="12"/>
      <c r="G149" s="10"/>
      <c r="H149" s="11"/>
      <c r="I149" s="10"/>
      <c r="J149" s="10"/>
      <c r="K149" s="10"/>
    </row>
    <row r="150" customFormat="false" ht="15" hidden="false" customHeight="false" outlineLevel="0" collapsed="false">
      <c r="A150" s="10"/>
      <c r="B150" s="10"/>
      <c r="C150" s="11"/>
      <c r="D150" s="11"/>
      <c r="E150" s="16" t="str">
        <f aca="false">IF(OR(C150="",D150=""),"",C150-D150)</f>
        <v/>
      </c>
      <c r="F150" s="12"/>
      <c r="G150" s="10"/>
      <c r="H150" s="11"/>
      <c r="I150" s="10"/>
      <c r="J150" s="10"/>
      <c r="K150" s="10"/>
    </row>
    <row r="151" customFormat="false" ht="15" hidden="false" customHeight="false" outlineLevel="0" collapsed="false">
      <c r="A151" s="10"/>
      <c r="B151" s="10"/>
      <c r="C151" s="11"/>
      <c r="D151" s="11"/>
      <c r="E151" s="16" t="str">
        <f aca="false">IF(OR(C151="",D151=""),"",C151-D151)</f>
        <v/>
      </c>
      <c r="F151" s="12"/>
      <c r="G151" s="10"/>
      <c r="H151" s="11"/>
      <c r="I151" s="10"/>
      <c r="J151" s="10"/>
      <c r="K151" s="10"/>
    </row>
    <row r="152" customFormat="false" ht="15" hidden="false" customHeight="false" outlineLevel="0" collapsed="false">
      <c r="A152" s="10"/>
      <c r="B152" s="10"/>
      <c r="C152" s="11"/>
      <c r="D152" s="11"/>
      <c r="E152" s="16" t="str">
        <f aca="false">IF(OR(C152="",D152=""),"",C152-D152)</f>
        <v/>
      </c>
      <c r="F152" s="12"/>
      <c r="G152" s="10"/>
      <c r="H152" s="11"/>
      <c r="I152" s="10"/>
      <c r="J152" s="10"/>
      <c r="K152" s="10"/>
    </row>
    <row r="153" customFormat="false" ht="15" hidden="false" customHeight="false" outlineLevel="0" collapsed="false">
      <c r="A153" s="10"/>
      <c r="B153" s="10"/>
      <c r="C153" s="11"/>
      <c r="D153" s="11"/>
      <c r="E153" s="16" t="str">
        <f aca="false">IF(OR(C153="",D153=""),"",C153-D153)</f>
        <v/>
      </c>
      <c r="F153" s="12"/>
      <c r="G153" s="10"/>
      <c r="H153" s="11"/>
      <c r="I153" s="10"/>
      <c r="J153" s="10"/>
      <c r="K153" s="10"/>
    </row>
    <row r="154" customFormat="false" ht="15" hidden="false" customHeight="false" outlineLevel="0" collapsed="false">
      <c r="A154" s="10"/>
      <c r="B154" s="10"/>
      <c r="C154" s="11"/>
      <c r="D154" s="11"/>
      <c r="E154" s="16" t="str">
        <f aca="false">IF(OR(C154="",D154=""),"",C154-D154)</f>
        <v/>
      </c>
      <c r="F154" s="12"/>
      <c r="G154" s="10"/>
      <c r="H154" s="11"/>
      <c r="I154" s="10"/>
      <c r="J154" s="10"/>
      <c r="K154" s="10"/>
    </row>
    <row r="155" customFormat="false" ht="15" hidden="false" customHeight="false" outlineLevel="0" collapsed="false">
      <c r="A155" s="10"/>
      <c r="B155" s="10"/>
      <c r="C155" s="11"/>
      <c r="D155" s="11"/>
      <c r="E155" s="16" t="str">
        <f aca="false">IF(OR(C155="",D155=""),"",C155-D155)</f>
        <v/>
      </c>
      <c r="F155" s="12"/>
      <c r="G155" s="10"/>
      <c r="H155" s="11"/>
      <c r="I155" s="10"/>
      <c r="J155" s="10"/>
      <c r="K155" s="10"/>
    </row>
    <row r="156" customFormat="false" ht="15" hidden="false" customHeight="false" outlineLevel="0" collapsed="false">
      <c r="A156" s="10"/>
      <c r="B156" s="10"/>
      <c r="C156" s="11"/>
      <c r="D156" s="11"/>
      <c r="E156" s="16" t="str">
        <f aca="false">IF(OR(C156="",D156=""),"",C156-D156)</f>
        <v/>
      </c>
      <c r="F156" s="12"/>
      <c r="G156" s="10"/>
      <c r="H156" s="11"/>
      <c r="I156" s="10"/>
      <c r="J156" s="10"/>
      <c r="K156" s="10"/>
    </row>
    <row r="157" customFormat="false" ht="15" hidden="false" customHeight="false" outlineLevel="0" collapsed="false">
      <c r="A157" s="10"/>
      <c r="B157" s="10"/>
      <c r="C157" s="11"/>
      <c r="D157" s="11"/>
      <c r="E157" s="16" t="str">
        <f aca="false">IF(OR(C157="",D157=""),"",C157-D157)</f>
        <v/>
      </c>
      <c r="F157" s="12"/>
      <c r="G157" s="10"/>
      <c r="H157" s="11"/>
      <c r="I157" s="10"/>
      <c r="J157" s="10"/>
      <c r="K157" s="10"/>
    </row>
    <row r="158" customFormat="false" ht="15" hidden="false" customHeight="false" outlineLevel="0" collapsed="false">
      <c r="A158" s="10"/>
      <c r="B158" s="10"/>
      <c r="C158" s="11"/>
      <c r="D158" s="11"/>
      <c r="E158" s="16" t="str">
        <f aca="false">IF(OR(C158="",D158=""),"",C158-D158)</f>
        <v/>
      </c>
      <c r="F158" s="12"/>
      <c r="G158" s="10"/>
      <c r="H158" s="11"/>
      <c r="I158" s="10"/>
      <c r="J158" s="10"/>
      <c r="K158" s="10"/>
    </row>
    <row r="159" customFormat="false" ht="15" hidden="false" customHeight="false" outlineLevel="0" collapsed="false">
      <c r="A159" s="10"/>
      <c r="B159" s="10"/>
      <c r="C159" s="11"/>
      <c r="D159" s="11"/>
      <c r="E159" s="16" t="str">
        <f aca="false">IF(OR(C159="",D159=""),"",C159-D159)</f>
        <v/>
      </c>
      <c r="F159" s="12"/>
      <c r="G159" s="10"/>
      <c r="H159" s="11"/>
      <c r="I159" s="10"/>
      <c r="J159" s="10"/>
      <c r="K159" s="10"/>
    </row>
    <row r="160" customFormat="false" ht="15" hidden="false" customHeight="false" outlineLevel="0" collapsed="false">
      <c r="A160" s="10"/>
      <c r="B160" s="10"/>
      <c r="C160" s="11"/>
      <c r="D160" s="11"/>
      <c r="E160" s="16" t="str">
        <f aca="false">IF(OR(C160="",D160=""),"",C160-D160)</f>
        <v/>
      </c>
      <c r="F160" s="12"/>
      <c r="G160" s="10"/>
      <c r="H160" s="11"/>
      <c r="I160" s="10"/>
      <c r="J160" s="10"/>
      <c r="K160" s="10"/>
    </row>
    <row r="161" customFormat="false" ht="15" hidden="false" customHeight="false" outlineLevel="0" collapsed="false">
      <c r="A161" s="10"/>
      <c r="B161" s="10"/>
      <c r="C161" s="11"/>
      <c r="D161" s="11"/>
      <c r="E161" s="16" t="str">
        <f aca="false">IF(OR(C161="",D161=""),"",C161-D161)</f>
        <v/>
      </c>
      <c r="F161" s="12"/>
      <c r="G161" s="10"/>
      <c r="H161" s="11"/>
      <c r="I161" s="10"/>
      <c r="J161" s="10"/>
      <c r="K161" s="10"/>
    </row>
    <row r="162" customFormat="false" ht="15" hidden="false" customHeight="false" outlineLevel="0" collapsed="false">
      <c r="A162" s="10"/>
      <c r="B162" s="10"/>
      <c r="C162" s="11"/>
      <c r="D162" s="11"/>
      <c r="E162" s="16" t="str">
        <f aca="false">IF(OR(C162="",D162=""),"",C162-D162)</f>
        <v/>
      </c>
      <c r="F162" s="12"/>
      <c r="G162" s="10"/>
      <c r="H162" s="11"/>
      <c r="I162" s="10"/>
      <c r="J162" s="10"/>
      <c r="K162" s="10"/>
    </row>
    <row r="163" customFormat="false" ht="15" hidden="false" customHeight="false" outlineLevel="0" collapsed="false">
      <c r="A163" s="10"/>
      <c r="B163" s="10"/>
      <c r="C163" s="11"/>
      <c r="D163" s="11"/>
      <c r="E163" s="16" t="str">
        <f aca="false">IF(OR(C163="",D163=""),"",C163-D163)</f>
        <v/>
      </c>
      <c r="F163" s="12"/>
      <c r="G163" s="10"/>
      <c r="H163" s="11"/>
      <c r="I163" s="10"/>
      <c r="J163" s="10"/>
      <c r="K163" s="10"/>
    </row>
    <row r="164" customFormat="false" ht="15" hidden="false" customHeight="false" outlineLevel="0" collapsed="false">
      <c r="A164" s="10"/>
      <c r="B164" s="10"/>
      <c r="C164" s="11"/>
      <c r="D164" s="11"/>
      <c r="E164" s="16" t="str">
        <f aca="false">IF(OR(C164="",D164=""),"",C164-D164)</f>
        <v/>
      </c>
      <c r="F164" s="12"/>
      <c r="G164" s="10"/>
      <c r="H164" s="11"/>
      <c r="I164" s="10"/>
      <c r="J164" s="10"/>
      <c r="K164" s="10"/>
    </row>
    <row r="165" customFormat="false" ht="15" hidden="false" customHeight="false" outlineLevel="0" collapsed="false">
      <c r="A165" s="10"/>
      <c r="B165" s="10"/>
      <c r="C165" s="11"/>
      <c r="D165" s="11"/>
      <c r="E165" s="16" t="str">
        <f aca="false">IF(OR(C165="",D165=""),"",C165-D165)</f>
        <v/>
      </c>
      <c r="F165" s="12"/>
      <c r="G165" s="10"/>
      <c r="H165" s="11"/>
      <c r="I165" s="10"/>
      <c r="J165" s="10"/>
      <c r="K165" s="10"/>
    </row>
    <row r="166" customFormat="false" ht="15" hidden="false" customHeight="false" outlineLevel="0" collapsed="false">
      <c r="A166" s="10"/>
      <c r="B166" s="10"/>
      <c r="C166" s="11"/>
      <c r="D166" s="11"/>
      <c r="E166" s="16" t="str">
        <f aca="false">IF(OR(C166="",D166=""),"",C166-D166)</f>
        <v/>
      </c>
      <c r="F166" s="12"/>
      <c r="G166" s="10"/>
      <c r="H166" s="11"/>
      <c r="I166" s="10"/>
      <c r="J166" s="10"/>
      <c r="K166" s="10"/>
    </row>
    <row r="167" customFormat="false" ht="15" hidden="false" customHeight="false" outlineLevel="0" collapsed="false">
      <c r="A167" s="10"/>
      <c r="B167" s="10"/>
      <c r="C167" s="11"/>
      <c r="D167" s="11"/>
      <c r="E167" s="16" t="str">
        <f aca="false">IF(OR(C167="",D167=""),"",C167-D167)</f>
        <v/>
      </c>
      <c r="F167" s="12"/>
      <c r="G167" s="10"/>
      <c r="H167" s="11"/>
      <c r="I167" s="10"/>
      <c r="J167" s="10"/>
      <c r="K167" s="10"/>
    </row>
    <row r="168" customFormat="false" ht="15" hidden="false" customHeight="false" outlineLevel="0" collapsed="false">
      <c r="A168" s="10"/>
      <c r="B168" s="10"/>
      <c r="C168" s="11"/>
      <c r="D168" s="11"/>
      <c r="E168" s="16" t="str">
        <f aca="false">IF(OR(C168="",D168=""),"",C168-D168)</f>
        <v/>
      </c>
      <c r="F168" s="12"/>
      <c r="G168" s="10"/>
      <c r="H168" s="11"/>
      <c r="I168" s="10"/>
      <c r="J168" s="10"/>
      <c r="K168" s="10"/>
    </row>
    <row r="169" customFormat="false" ht="15" hidden="false" customHeight="false" outlineLevel="0" collapsed="false">
      <c r="A169" s="10"/>
      <c r="B169" s="10"/>
      <c r="C169" s="11"/>
      <c r="D169" s="11"/>
      <c r="E169" s="16" t="str">
        <f aca="false">IF(OR(C169="",D169=""),"",C169-D169)</f>
        <v/>
      </c>
      <c r="F169" s="12"/>
      <c r="G169" s="10"/>
      <c r="H169" s="11"/>
      <c r="I169" s="10"/>
      <c r="J169" s="10"/>
      <c r="K169" s="10"/>
    </row>
    <row r="170" customFormat="false" ht="15" hidden="false" customHeight="false" outlineLevel="0" collapsed="false">
      <c r="A170" s="10"/>
      <c r="B170" s="10"/>
      <c r="C170" s="11"/>
      <c r="D170" s="11"/>
      <c r="E170" s="16" t="str">
        <f aca="false">IF(OR(C170="",D170=""),"",C170-D170)</f>
        <v/>
      </c>
      <c r="F170" s="12"/>
      <c r="G170" s="10"/>
      <c r="H170" s="11"/>
      <c r="I170" s="10"/>
      <c r="J170" s="10"/>
      <c r="K170" s="10"/>
    </row>
    <row r="171" customFormat="false" ht="15" hidden="false" customHeight="false" outlineLevel="0" collapsed="false">
      <c r="A171" s="10"/>
      <c r="B171" s="10"/>
      <c r="C171" s="11"/>
      <c r="D171" s="11"/>
      <c r="E171" s="16" t="str">
        <f aca="false">IF(OR(C171="",D171=""),"",C171-D171)</f>
        <v/>
      </c>
      <c r="F171" s="12"/>
      <c r="G171" s="10"/>
      <c r="H171" s="11"/>
      <c r="I171" s="10"/>
      <c r="J171" s="10"/>
      <c r="K171" s="10"/>
    </row>
    <row r="172" customFormat="false" ht="15" hidden="false" customHeight="false" outlineLevel="0" collapsed="false">
      <c r="A172" s="10"/>
      <c r="B172" s="10"/>
      <c r="C172" s="11"/>
      <c r="D172" s="11"/>
      <c r="E172" s="16" t="str">
        <f aca="false">IF(OR(C172="",D172=""),"",C172-D172)</f>
        <v/>
      </c>
      <c r="F172" s="12"/>
      <c r="G172" s="10"/>
      <c r="H172" s="11"/>
      <c r="I172" s="10"/>
      <c r="J172" s="10"/>
      <c r="K172" s="10"/>
    </row>
    <row r="173" customFormat="false" ht="15" hidden="false" customHeight="false" outlineLevel="0" collapsed="false">
      <c r="A173" s="10"/>
      <c r="B173" s="10"/>
      <c r="C173" s="11"/>
      <c r="D173" s="11"/>
      <c r="E173" s="16" t="str">
        <f aca="false">IF(OR(C173="",D173=""),"",C173-D173)</f>
        <v/>
      </c>
      <c r="F173" s="12"/>
      <c r="G173" s="10"/>
      <c r="H173" s="11"/>
      <c r="I173" s="10"/>
      <c r="J173" s="10"/>
      <c r="K173" s="10"/>
    </row>
    <row r="174" customFormat="false" ht="15" hidden="false" customHeight="false" outlineLevel="0" collapsed="false">
      <c r="A174" s="10"/>
      <c r="B174" s="10"/>
      <c r="C174" s="11"/>
      <c r="D174" s="11"/>
      <c r="E174" s="16" t="str">
        <f aca="false">IF(OR(C174="",D174=""),"",C174-D174)</f>
        <v/>
      </c>
      <c r="F174" s="12"/>
      <c r="G174" s="10"/>
      <c r="H174" s="11"/>
      <c r="I174" s="10"/>
      <c r="J174" s="10"/>
      <c r="K174" s="10"/>
    </row>
    <row r="175" customFormat="false" ht="15" hidden="false" customHeight="false" outlineLevel="0" collapsed="false">
      <c r="A175" s="10"/>
      <c r="B175" s="10"/>
      <c r="C175" s="11"/>
      <c r="D175" s="11"/>
      <c r="E175" s="16" t="str">
        <f aca="false">IF(OR(C175="",D175=""),"",C175-D175)</f>
        <v/>
      </c>
      <c r="F175" s="12"/>
      <c r="G175" s="10"/>
      <c r="H175" s="11"/>
      <c r="I175" s="10"/>
      <c r="J175" s="10"/>
      <c r="K175" s="10"/>
    </row>
    <row r="176" customFormat="false" ht="15" hidden="false" customHeight="false" outlineLevel="0" collapsed="false">
      <c r="A176" s="10"/>
      <c r="B176" s="10"/>
      <c r="C176" s="11"/>
      <c r="D176" s="11"/>
      <c r="E176" s="16" t="str">
        <f aca="false">IF(OR(C176="",D176=""),"",C176-D176)</f>
        <v/>
      </c>
      <c r="F176" s="12"/>
      <c r="G176" s="10"/>
      <c r="H176" s="11"/>
      <c r="I176" s="10"/>
      <c r="J176" s="10"/>
      <c r="K176" s="10"/>
    </row>
    <row r="177" customFormat="false" ht="15" hidden="false" customHeight="false" outlineLevel="0" collapsed="false">
      <c r="A177" s="10"/>
      <c r="B177" s="10"/>
      <c r="C177" s="11"/>
      <c r="D177" s="11"/>
      <c r="E177" s="16" t="str">
        <f aca="false">IF(OR(C177="",D177=""),"",C177-D177)</f>
        <v/>
      </c>
      <c r="F177" s="12"/>
      <c r="G177" s="10"/>
      <c r="H177" s="11"/>
      <c r="I177" s="10"/>
      <c r="J177" s="10"/>
      <c r="K177" s="10"/>
    </row>
    <row r="178" customFormat="false" ht="15" hidden="false" customHeight="false" outlineLevel="0" collapsed="false">
      <c r="A178" s="10"/>
      <c r="B178" s="10"/>
      <c r="C178" s="11"/>
      <c r="D178" s="11"/>
      <c r="E178" s="16" t="str">
        <f aca="false">IF(OR(C178="",D178=""),"",C178-D178)</f>
        <v/>
      </c>
      <c r="F178" s="12"/>
      <c r="G178" s="10"/>
      <c r="H178" s="11"/>
      <c r="I178" s="10"/>
      <c r="J178" s="10"/>
      <c r="K178" s="10"/>
    </row>
    <row r="179" customFormat="false" ht="15" hidden="false" customHeight="false" outlineLevel="0" collapsed="false">
      <c r="A179" s="10"/>
      <c r="B179" s="10"/>
      <c r="C179" s="11"/>
      <c r="D179" s="11"/>
      <c r="E179" s="16" t="str">
        <f aca="false">IF(OR(C179="",D179=""),"",C179-D179)</f>
        <v/>
      </c>
      <c r="F179" s="12"/>
      <c r="G179" s="10"/>
      <c r="H179" s="11"/>
      <c r="I179" s="10"/>
      <c r="J179" s="10"/>
      <c r="K179" s="10"/>
    </row>
    <row r="180" customFormat="false" ht="15" hidden="false" customHeight="false" outlineLevel="0" collapsed="false">
      <c r="A180" s="10"/>
      <c r="B180" s="10"/>
      <c r="C180" s="11"/>
      <c r="D180" s="11"/>
      <c r="E180" s="16" t="str">
        <f aca="false">IF(OR(C180="",D180=""),"",C180-D180)</f>
        <v/>
      </c>
      <c r="F180" s="12"/>
      <c r="G180" s="10"/>
      <c r="H180" s="11"/>
      <c r="I180" s="10"/>
      <c r="J180" s="10"/>
      <c r="K180" s="10"/>
    </row>
    <row r="181" customFormat="false" ht="15" hidden="false" customHeight="false" outlineLevel="0" collapsed="false">
      <c r="A181" s="10"/>
      <c r="B181" s="10"/>
      <c r="C181" s="11"/>
      <c r="D181" s="11"/>
      <c r="E181" s="16" t="str">
        <f aca="false">IF(OR(C181="",D181=""),"",C181-D181)</f>
        <v/>
      </c>
      <c r="F181" s="12"/>
      <c r="G181" s="10"/>
      <c r="H181" s="11"/>
      <c r="I181" s="10"/>
      <c r="J181" s="10"/>
      <c r="K181" s="10"/>
    </row>
    <row r="182" customFormat="false" ht="15" hidden="false" customHeight="false" outlineLevel="0" collapsed="false">
      <c r="A182" s="10"/>
      <c r="B182" s="10"/>
      <c r="C182" s="11"/>
      <c r="D182" s="11"/>
      <c r="E182" s="16" t="str">
        <f aca="false">IF(OR(C182="",D182=""),"",C182-D182)</f>
        <v/>
      </c>
      <c r="F182" s="12"/>
      <c r="G182" s="10"/>
      <c r="H182" s="11"/>
      <c r="I182" s="10"/>
      <c r="J182" s="10"/>
      <c r="K182" s="10"/>
    </row>
    <row r="183" customFormat="false" ht="15" hidden="false" customHeight="false" outlineLevel="0" collapsed="false">
      <c r="A183" s="10"/>
      <c r="B183" s="10"/>
      <c r="C183" s="11"/>
      <c r="D183" s="11"/>
      <c r="E183" s="16" t="str">
        <f aca="false">IF(OR(C183="",D183=""),"",C183-D183)</f>
        <v/>
      </c>
      <c r="F183" s="12"/>
      <c r="G183" s="10"/>
      <c r="H183" s="11"/>
      <c r="I183" s="10"/>
      <c r="J183" s="10"/>
      <c r="K183" s="10"/>
    </row>
    <row r="184" customFormat="false" ht="15" hidden="false" customHeight="false" outlineLevel="0" collapsed="false">
      <c r="A184" s="10"/>
      <c r="B184" s="10"/>
      <c r="C184" s="11"/>
      <c r="D184" s="11"/>
      <c r="E184" s="16" t="str">
        <f aca="false">IF(OR(C184="",D184=""),"",C184-D184)</f>
        <v/>
      </c>
      <c r="F184" s="12"/>
      <c r="G184" s="10"/>
      <c r="H184" s="11"/>
      <c r="I184" s="10"/>
      <c r="J184" s="10"/>
      <c r="K184" s="10"/>
    </row>
    <row r="185" customFormat="false" ht="15" hidden="false" customHeight="false" outlineLevel="0" collapsed="false">
      <c r="A185" s="10"/>
      <c r="B185" s="10"/>
      <c r="C185" s="11"/>
      <c r="D185" s="11"/>
      <c r="E185" s="16" t="str">
        <f aca="false">IF(OR(C185="",D185=""),"",C185-D185)</f>
        <v/>
      </c>
      <c r="F185" s="12"/>
      <c r="G185" s="10"/>
      <c r="H185" s="11"/>
      <c r="I185" s="10"/>
      <c r="J185" s="10"/>
      <c r="K185" s="10"/>
    </row>
    <row r="186" customFormat="false" ht="15" hidden="false" customHeight="false" outlineLevel="0" collapsed="false">
      <c r="A186" s="10"/>
      <c r="B186" s="10"/>
      <c r="C186" s="11"/>
      <c r="D186" s="11"/>
      <c r="E186" s="16" t="str">
        <f aca="false">IF(OR(C186="",D186=""),"",C186-D186)</f>
        <v/>
      </c>
      <c r="F186" s="12"/>
      <c r="G186" s="10"/>
      <c r="H186" s="11"/>
      <c r="I186" s="10"/>
      <c r="J186" s="10"/>
      <c r="K186" s="10"/>
    </row>
    <row r="187" customFormat="false" ht="15" hidden="false" customHeight="false" outlineLevel="0" collapsed="false">
      <c r="A187" s="10"/>
      <c r="B187" s="10"/>
      <c r="C187" s="11"/>
      <c r="D187" s="11"/>
      <c r="E187" s="16" t="str">
        <f aca="false">IF(OR(C187="",D187=""),"",C187-D187)</f>
        <v/>
      </c>
      <c r="F187" s="12"/>
      <c r="G187" s="10"/>
      <c r="H187" s="11"/>
      <c r="I187" s="10"/>
      <c r="J187" s="10"/>
      <c r="K187" s="10"/>
    </row>
    <row r="188" customFormat="false" ht="15" hidden="false" customHeight="false" outlineLevel="0" collapsed="false">
      <c r="A188" s="10"/>
      <c r="B188" s="10"/>
      <c r="C188" s="11"/>
      <c r="D188" s="11"/>
      <c r="E188" s="16" t="str">
        <f aca="false">IF(OR(C188="",D188=""),"",C188-D188)</f>
        <v/>
      </c>
      <c r="F188" s="12"/>
      <c r="G188" s="10"/>
      <c r="H188" s="11"/>
      <c r="I188" s="10"/>
      <c r="J188" s="10"/>
      <c r="K188" s="10"/>
    </row>
    <row r="189" customFormat="false" ht="15" hidden="false" customHeight="false" outlineLevel="0" collapsed="false">
      <c r="A189" s="10"/>
      <c r="B189" s="10"/>
      <c r="C189" s="11"/>
      <c r="D189" s="11"/>
      <c r="E189" s="16" t="str">
        <f aca="false">IF(OR(C189="",D189=""),"",C189-D189)</f>
        <v/>
      </c>
      <c r="F189" s="12"/>
      <c r="G189" s="10"/>
      <c r="H189" s="11"/>
      <c r="I189" s="10"/>
      <c r="J189" s="10"/>
      <c r="K189" s="10"/>
    </row>
    <row r="190" customFormat="false" ht="15" hidden="false" customHeight="false" outlineLevel="0" collapsed="false">
      <c r="A190" s="10"/>
      <c r="B190" s="10"/>
      <c r="C190" s="11"/>
      <c r="D190" s="11"/>
      <c r="E190" s="16" t="str">
        <f aca="false">IF(OR(C190="",D190=""),"",C190-D190)</f>
        <v/>
      </c>
      <c r="F190" s="12"/>
      <c r="G190" s="10"/>
      <c r="H190" s="11"/>
      <c r="I190" s="10"/>
      <c r="J190" s="10"/>
      <c r="K190" s="10"/>
    </row>
    <row r="191" customFormat="false" ht="15" hidden="false" customHeight="false" outlineLevel="0" collapsed="false">
      <c r="A191" s="10"/>
      <c r="B191" s="10"/>
      <c r="C191" s="11"/>
      <c r="D191" s="11"/>
      <c r="E191" s="16" t="str">
        <f aca="false">IF(OR(C191="",D191=""),"",C191-D191)</f>
        <v/>
      </c>
      <c r="F191" s="12"/>
      <c r="G191" s="10"/>
      <c r="H191" s="11"/>
      <c r="I191" s="10"/>
      <c r="J191" s="10"/>
      <c r="K191" s="10"/>
    </row>
    <row r="192" customFormat="false" ht="15" hidden="false" customHeight="false" outlineLevel="0" collapsed="false">
      <c r="A192" s="10"/>
      <c r="B192" s="10"/>
      <c r="C192" s="11"/>
      <c r="D192" s="11"/>
      <c r="E192" s="16" t="str">
        <f aca="false">IF(OR(C192="",D192=""),"",C192-D192)</f>
        <v/>
      </c>
      <c r="F192" s="12"/>
      <c r="G192" s="10"/>
      <c r="H192" s="11"/>
      <c r="I192" s="10"/>
      <c r="J192" s="10"/>
      <c r="K192" s="10"/>
    </row>
    <row r="193" customFormat="false" ht="15" hidden="false" customHeight="false" outlineLevel="0" collapsed="false">
      <c r="A193" s="10"/>
      <c r="B193" s="10"/>
      <c r="C193" s="11"/>
      <c r="D193" s="11"/>
      <c r="E193" s="16" t="str">
        <f aca="false">IF(OR(C193="",D193=""),"",C193-D193)</f>
        <v/>
      </c>
      <c r="F193" s="12"/>
      <c r="G193" s="10"/>
      <c r="H193" s="11"/>
      <c r="I193" s="10"/>
      <c r="J193" s="10"/>
      <c r="K193" s="10"/>
    </row>
    <row r="194" customFormat="false" ht="15" hidden="false" customHeight="false" outlineLevel="0" collapsed="false">
      <c r="A194" s="10"/>
      <c r="B194" s="10"/>
      <c r="C194" s="11"/>
      <c r="D194" s="11"/>
      <c r="E194" s="16" t="str">
        <f aca="false">IF(OR(C194="",D194=""),"",C194-D194)</f>
        <v/>
      </c>
      <c r="F194" s="12"/>
      <c r="G194" s="10"/>
      <c r="H194" s="11"/>
      <c r="I194" s="10"/>
      <c r="J194" s="10"/>
      <c r="K194" s="10"/>
    </row>
    <row r="195" customFormat="false" ht="15" hidden="false" customHeight="false" outlineLevel="0" collapsed="false">
      <c r="A195" s="10"/>
      <c r="B195" s="10"/>
      <c r="C195" s="11"/>
      <c r="D195" s="11"/>
      <c r="E195" s="16" t="str">
        <f aca="false">IF(OR(C195="",D195=""),"",C195-D195)</f>
        <v/>
      </c>
      <c r="F195" s="12"/>
      <c r="G195" s="10"/>
      <c r="H195" s="11"/>
      <c r="I195" s="10"/>
      <c r="J195" s="10"/>
      <c r="K195" s="10"/>
    </row>
    <row r="196" customFormat="false" ht="15" hidden="false" customHeight="false" outlineLevel="0" collapsed="false">
      <c r="A196" s="10"/>
      <c r="B196" s="10"/>
      <c r="C196" s="11"/>
      <c r="D196" s="11"/>
      <c r="E196" s="16" t="str">
        <f aca="false">IF(OR(C196="",D196=""),"",C196-D196)</f>
        <v/>
      </c>
      <c r="F196" s="12"/>
      <c r="G196" s="10"/>
      <c r="H196" s="11"/>
      <c r="I196" s="10"/>
      <c r="J196" s="10"/>
      <c r="K196" s="10"/>
    </row>
    <row r="197" customFormat="false" ht="15" hidden="false" customHeight="false" outlineLevel="0" collapsed="false">
      <c r="A197" s="10"/>
      <c r="B197" s="10"/>
      <c r="C197" s="11"/>
      <c r="D197" s="11"/>
      <c r="E197" s="16" t="str">
        <f aca="false">IF(OR(C197="",D197=""),"",C197-D197)</f>
        <v/>
      </c>
      <c r="F197" s="12"/>
      <c r="G197" s="10"/>
      <c r="H197" s="11"/>
      <c r="I197" s="10"/>
      <c r="J197" s="10"/>
      <c r="K197" s="10"/>
    </row>
    <row r="198" customFormat="false" ht="15" hidden="false" customHeight="false" outlineLevel="0" collapsed="false">
      <c r="A198" s="10"/>
      <c r="B198" s="10"/>
      <c r="C198" s="11"/>
      <c r="D198" s="11"/>
      <c r="E198" s="16" t="str">
        <f aca="false">IF(OR(C198="",D198=""),"",C198-D198)</f>
        <v/>
      </c>
      <c r="F198" s="12"/>
      <c r="G198" s="10"/>
      <c r="H198" s="11"/>
      <c r="I198" s="10"/>
      <c r="J198" s="10"/>
      <c r="K198" s="10"/>
    </row>
    <row r="199" customFormat="false" ht="15" hidden="false" customHeight="false" outlineLevel="0" collapsed="false">
      <c r="A199" s="10"/>
      <c r="B199" s="10"/>
      <c r="C199" s="11"/>
      <c r="D199" s="11"/>
      <c r="E199" s="16" t="str">
        <f aca="false">IF(OR(C199="",D199=""),"",C199-D199)</f>
        <v/>
      </c>
      <c r="F199" s="12"/>
      <c r="G199" s="10"/>
      <c r="H199" s="11"/>
      <c r="I199" s="10"/>
      <c r="J199" s="10"/>
      <c r="K199" s="10"/>
    </row>
    <row r="200" customFormat="false" ht="15" hidden="false" customHeight="false" outlineLevel="0" collapsed="false">
      <c r="A200" s="10"/>
      <c r="B200" s="10"/>
      <c r="C200" s="11"/>
      <c r="D200" s="11"/>
      <c r="E200" s="16" t="str">
        <f aca="false">IF(OR(C200="",D200=""),"",C200-D200)</f>
        <v/>
      </c>
      <c r="F200" s="12"/>
      <c r="G200" s="10"/>
      <c r="H200" s="11"/>
      <c r="I200" s="10"/>
      <c r="J200" s="10"/>
      <c r="K200" s="10"/>
    </row>
  </sheetData>
  <autoFilter ref="A1:K200"/>
  <dataValidations count="2">
    <dataValidation allowBlank="true" errorStyle="stop" operator="between" showDropDown="false" showErrorMessage="false" showInputMessage="false" sqref="G2:G200" type="list">
      <formula1>"是,否"</formula1>
      <formula2>0</formula2>
    </dataValidation>
    <dataValidation allowBlank="true" errorStyle="stop" operator="between" showDropDown="false" showErrorMessage="false" showInputMessage="false" sqref="I2:I200" type="list">
      <formula1>"A,B,未知"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2"/>
  </cols>
  <sheetData>
    <row r="1" customFormat="false" ht="36" hidden="false" customHeight="true" outlineLevel="0" collapsed="false">
      <c r="A1" s="8" t="s">
        <v>135</v>
      </c>
      <c r="B1" s="8" t="s">
        <v>46</v>
      </c>
      <c r="C1" s="8" t="s">
        <v>50</v>
      </c>
      <c r="D1" s="8" t="s">
        <v>136</v>
      </c>
      <c r="E1" s="8" t="s">
        <v>49</v>
      </c>
      <c r="F1" s="8" t="s">
        <v>127</v>
      </c>
      <c r="G1" s="8" t="s">
        <v>73</v>
      </c>
      <c r="H1" s="8" t="s">
        <v>137</v>
      </c>
      <c r="I1" s="9" t="s">
        <v>138</v>
      </c>
    </row>
    <row r="2" customFormat="false" ht="15" hidden="false" customHeight="false" outlineLevel="0" collapsed="false">
      <c r="A2" s="10"/>
      <c r="B2" s="10"/>
      <c r="C2" s="10"/>
      <c r="D2" s="12"/>
      <c r="E2" s="10"/>
      <c r="F2" s="11"/>
      <c r="G2" s="12"/>
      <c r="H2" s="12"/>
      <c r="I2" s="13" t="str">
        <f aca="true">IF(A2="","",IF(H2&lt;&gt;"","已付",IF(AND(G2&lt;&gt;"",TODAY()&gt;G2),"逾期","未付")))</f>
        <v/>
      </c>
    </row>
    <row r="3" customFormat="false" ht="15" hidden="false" customHeight="false" outlineLevel="0" collapsed="false">
      <c r="A3" s="10"/>
      <c r="B3" s="10"/>
      <c r="C3" s="10"/>
      <c r="D3" s="12"/>
      <c r="E3" s="10"/>
      <c r="F3" s="11"/>
      <c r="G3" s="12"/>
      <c r="H3" s="12"/>
      <c r="I3" s="13" t="str">
        <f aca="true">IF(A3="","",IF(H3&lt;&gt;"","已付",IF(AND(G3&lt;&gt;"",TODAY()&gt;G3),"逾期","未付")))</f>
        <v/>
      </c>
    </row>
    <row r="4" customFormat="false" ht="15" hidden="false" customHeight="false" outlineLevel="0" collapsed="false">
      <c r="A4" s="10"/>
      <c r="B4" s="10"/>
      <c r="C4" s="10"/>
      <c r="D4" s="12"/>
      <c r="E4" s="10"/>
      <c r="F4" s="11"/>
      <c r="G4" s="12"/>
      <c r="H4" s="12"/>
      <c r="I4" s="13" t="str">
        <f aca="true">IF(A4="","",IF(H4&lt;&gt;"","已付",IF(AND(G4&lt;&gt;"",TODAY()&gt;G4),"逾期","未付")))</f>
        <v/>
      </c>
    </row>
    <row r="5" customFormat="false" ht="15" hidden="false" customHeight="false" outlineLevel="0" collapsed="false">
      <c r="A5" s="10"/>
      <c r="B5" s="10"/>
      <c r="C5" s="10"/>
      <c r="D5" s="12"/>
      <c r="E5" s="10"/>
      <c r="F5" s="11"/>
      <c r="G5" s="12"/>
      <c r="H5" s="12"/>
      <c r="I5" s="13" t="str">
        <f aca="true">IF(A5="","",IF(H5&lt;&gt;"","已付",IF(AND(G5&lt;&gt;"",TODAY()&gt;G5),"逾期","未付")))</f>
        <v/>
      </c>
    </row>
    <row r="6" customFormat="false" ht="15" hidden="false" customHeight="false" outlineLevel="0" collapsed="false">
      <c r="A6" s="10"/>
      <c r="B6" s="10"/>
      <c r="C6" s="10"/>
      <c r="D6" s="12"/>
      <c r="E6" s="10"/>
      <c r="F6" s="11"/>
      <c r="G6" s="12"/>
      <c r="H6" s="12"/>
      <c r="I6" s="13" t="str">
        <f aca="true">IF(A6="","",IF(H6&lt;&gt;"","已付",IF(AND(G6&lt;&gt;"",TODAY()&gt;G6),"逾期","未付")))</f>
        <v/>
      </c>
    </row>
    <row r="7" customFormat="false" ht="15" hidden="false" customHeight="false" outlineLevel="0" collapsed="false">
      <c r="A7" s="10"/>
      <c r="B7" s="10"/>
      <c r="C7" s="10"/>
      <c r="D7" s="12"/>
      <c r="E7" s="10"/>
      <c r="F7" s="11"/>
      <c r="G7" s="12"/>
      <c r="H7" s="12"/>
      <c r="I7" s="13" t="str">
        <f aca="true">IF(A7="","",IF(H7&lt;&gt;"","已付",IF(AND(G7&lt;&gt;"",TODAY()&gt;G7),"逾期","未付")))</f>
        <v/>
      </c>
    </row>
    <row r="8" customFormat="false" ht="15" hidden="false" customHeight="false" outlineLevel="0" collapsed="false">
      <c r="A8" s="10"/>
      <c r="B8" s="10"/>
      <c r="C8" s="10"/>
      <c r="D8" s="12"/>
      <c r="E8" s="10"/>
      <c r="F8" s="11"/>
      <c r="G8" s="12"/>
      <c r="H8" s="12"/>
      <c r="I8" s="13" t="str">
        <f aca="true">IF(A8="","",IF(H8&lt;&gt;"","已付",IF(AND(G8&lt;&gt;"",TODAY()&gt;G8),"逾期","未付")))</f>
        <v/>
      </c>
    </row>
    <row r="9" customFormat="false" ht="15" hidden="false" customHeight="false" outlineLevel="0" collapsed="false">
      <c r="A9" s="10"/>
      <c r="B9" s="10"/>
      <c r="C9" s="10"/>
      <c r="D9" s="12"/>
      <c r="E9" s="10"/>
      <c r="F9" s="11"/>
      <c r="G9" s="12"/>
      <c r="H9" s="12"/>
      <c r="I9" s="13" t="str">
        <f aca="true">IF(A9="","",IF(H9&lt;&gt;"","已付",IF(AND(G9&lt;&gt;"",TODAY()&gt;G9),"逾期","未付")))</f>
        <v/>
      </c>
    </row>
    <row r="10" customFormat="false" ht="15" hidden="false" customHeight="false" outlineLevel="0" collapsed="false">
      <c r="A10" s="10"/>
      <c r="B10" s="10"/>
      <c r="C10" s="10"/>
      <c r="D10" s="12"/>
      <c r="E10" s="10"/>
      <c r="F10" s="11"/>
      <c r="G10" s="12"/>
      <c r="H10" s="12"/>
      <c r="I10" s="13" t="str">
        <f aca="true">IF(A10="","",IF(H10&lt;&gt;"","已付",IF(AND(G10&lt;&gt;"",TODAY()&gt;G10),"逾期","未付")))</f>
        <v/>
      </c>
    </row>
    <row r="11" customFormat="false" ht="15" hidden="false" customHeight="false" outlineLevel="0" collapsed="false">
      <c r="A11" s="10"/>
      <c r="B11" s="10"/>
      <c r="C11" s="10"/>
      <c r="D11" s="12"/>
      <c r="E11" s="10"/>
      <c r="F11" s="11"/>
      <c r="G11" s="12"/>
      <c r="H11" s="12"/>
      <c r="I11" s="13" t="str">
        <f aca="true">IF(A11="","",IF(H11&lt;&gt;"","已付",IF(AND(G11&lt;&gt;"",TODAY()&gt;G11),"逾期","未付")))</f>
        <v/>
      </c>
    </row>
    <row r="12" customFormat="false" ht="15" hidden="false" customHeight="false" outlineLevel="0" collapsed="false">
      <c r="A12" s="10"/>
      <c r="B12" s="10"/>
      <c r="C12" s="10"/>
      <c r="D12" s="12"/>
      <c r="E12" s="10"/>
      <c r="F12" s="11"/>
      <c r="G12" s="12"/>
      <c r="H12" s="12"/>
      <c r="I12" s="13" t="str">
        <f aca="true">IF(A12="","",IF(H12&lt;&gt;"","已付",IF(AND(G12&lt;&gt;"",TODAY()&gt;G12),"逾期","未付")))</f>
        <v/>
      </c>
    </row>
    <row r="13" customFormat="false" ht="15" hidden="false" customHeight="false" outlineLevel="0" collapsed="false">
      <c r="A13" s="10"/>
      <c r="B13" s="10"/>
      <c r="C13" s="10"/>
      <c r="D13" s="12"/>
      <c r="E13" s="10"/>
      <c r="F13" s="11"/>
      <c r="G13" s="12"/>
      <c r="H13" s="12"/>
      <c r="I13" s="13" t="str">
        <f aca="true">IF(A13="","",IF(H13&lt;&gt;"","已付",IF(AND(G13&lt;&gt;"",TODAY()&gt;G13),"逾期","未付")))</f>
        <v/>
      </c>
    </row>
    <row r="14" customFormat="false" ht="15" hidden="false" customHeight="false" outlineLevel="0" collapsed="false">
      <c r="A14" s="10"/>
      <c r="B14" s="10"/>
      <c r="C14" s="10"/>
      <c r="D14" s="12"/>
      <c r="E14" s="10"/>
      <c r="F14" s="11"/>
      <c r="G14" s="12"/>
      <c r="H14" s="12"/>
      <c r="I14" s="13" t="str">
        <f aca="true">IF(A14="","",IF(H14&lt;&gt;"","已付",IF(AND(G14&lt;&gt;"",TODAY()&gt;G14),"逾期","未付")))</f>
        <v/>
      </c>
    </row>
    <row r="15" customFormat="false" ht="15" hidden="false" customHeight="false" outlineLevel="0" collapsed="false">
      <c r="A15" s="10"/>
      <c r="B15" s="10"/>
      <c r="C15" s="10"/>
      <c r="D15" s="12"/>
      <c r="E15" s="10"/>
      <c r="F15" s="11"/>
      <c r="G15" s="12"/>
      <c r="H15" s="12"/>
      <c r="I15" s="13" t="str">
        <f aca="true">IF(A15="","",IF(H15&lt;&gt;"","已付",IF(AND(G15&lt;&gt;"",TODAY()&gt;G15),"逾期","未付")))</f>
        <v/>
      </c>
    </row>
    <row r="16" customFormat="false" ht="15" hidden="false" customHeight="false" outlineLevel="0" collapsed="false">
      <c r="A16" s="10"/>
      <c r="B16" s="10"/>
      <c r="C16" s="10"/>
      <c r="D16" s="12"/>
      <c r="E16" s="10"/>
      <c r="F16" s="11"/>
      <c r="G16" s="12"/>
      <c r="H16" s="12"/>
      <c r="I16" s="13" t="str">
        <f aca="true">IF(A16="","",IF(H16&lt;&gt;"","已付",IF(AND(G16&lt;&gt;"",TODAY()&gt;G16),"逾期","未付")))</f>
        <v/>
      </c>
    </row>
    <row r="17" customFormat="false" ht="15" hidden="false" customHeight="false" outlineLevel="0" collapsed="false">
      <c r="A17" s="10"/>
      <c r="B17" s="10"/>
      <c r="C17" s="10"/>
      <c r="D17" s="12"/>
      <c r="E17" s="10"/>
      <c r="F17" s="11"/>
      <c r="G17" s="12"/>
      <c r="H17" s="12"/>
      <c r="I17" s="13" t="str">
        <f aca="true">IF(A17="","",IF(H17&lt;&gt;"","已付",IF(AND(G17&lt;&gt;"",TODAY()&gt;G17),"逾期","未付")))</f>
        <v/>
      </c>
    </row>
    <row r="18" customFormat="false" ht="15" hidden="false" customHeight="false" outlineLevel="0" collapsed="false">
      <c r="A18" s="10"/>
      <c r="B18" s="10"/>
      <c r="C18" s="10"/>
      <c r="D18" s="12"/>
      <c r="E18" s="10"/>
      <c r="F18" s="11"/>
      <c r="G18" s="12"/>
      <c r="H18" s="12"/>
      <c r="I18" s="13" t="str">
        <f aca="true">IF(A18="","",IF(H18&lt;&gt;"","已付",IF(AND(G18&lt;&gt;"",TODAY()&gt;G18),"逾期","未付")))</f>
        <v/>
      </c>
    </row>
    <row r="19" customFormat="false" ht="15" hidden="false" customHeight="false" outlineLevel="0" collapsed="false">
      <c r="A19" s="10"/>
      <c r="B19" s="10"/>
      <c r="C19" s="10"/>
      <c r="D19" s="12"/>
      <c r="E19" s="10"/>
      <c r="F19" s="11"/>
      <c r="G19" s="12"/>
      <c r="H19" s="12"/>
      <c r="I19" s="13" t="str">
        <f aca="true">IF(A19="","",IF(H19&lt;&gt;"","已付",IF(AND(G19&lt;&gt;"",TODAY()&gt;G19),"逾期","未付")))</f>
        <v/>
      </c>
    </row>
    <row r="20" customFormat="false" ht="15" hidden="false" customHeight="false" outlineLevel="0" collapsed="false">
      <c r="A20" s="10"/>
      <c r="B20" s="10"/>
      <c r="C20" s="10"/>
      <c r="D20" s="12"/>
      <c r="E20" s="10"/>
      <c r="F20" s="11"/>
      <c r="G20" s="12"/>
      <c r="H20" s="12"/>
      <c r="I20" s="13" t="str">
        <f aca="true">IF(A20="","",IF(H20&lt;&gt;"","已付",IF(AND(G20&lt;&gt;"",TODAY()&gt;G20),"逾期","未付")))</f>
        <v/>
      </c>
    </row>
    <row r="21" customFormat="false" ht="15" hidden="false" customHeight="false" outlineLevel="0" collapsed="false">
      <c r="A21" s="10"/>
      <c r="B21" s="10"/>
      <c r="C21" s="10"/>
      <c r="D21" s="12"/>
      <c r="E21" s="10"/>
      <c r="F21" s="11"/>
      <c r="G21" s="12"/>
      <c r="H21" s="12"/>
      <c r="I21" s="13" t="str">
        <f aca="true">IF(A21="","",IF(H21&lt;&gt;"","已付",IF(AND(G21&lt;&gt;"",TODAY()&gt;G21),"逾期","未付")))</f>
        <v/>
      </c>
    </row>
    <row r="22" customFormat="false" ht="15" hidden="false" customHeight="false" outlineLevel="0" collapsed="false">
      <c r="A22" s="10"/>
      <c r="B22" s="10"/>
      <c r="C22" s="10"/>
      <c r="D22" s="12"/>
      <c r="E22" s="10"/>
      <c r="F22" s="11"/>
      <c r="G22" s="12"/>
      <c r="H22" s="12"/>
      <c r="I22" s="13" t="str">
        <f aca="true">IF(A22="","",IF(H22&lt;&gt;"","已付",IF(AND(G22&lt;&gt;"",TODAY()&gt;G22),"逾期","未付")))</f>
        <v/>
      </c>
    </row>
    <row r="23" customFormat="false" ht="15" hidden="false" customHeight="false" outlineLevel="0" collapsed="false">
      <c r="A23" s="10"/>
      <c r="B23" s="10"/>
      <c r="C23" s="10"/>
      <c r="D23" s="12"/>
      <c r="E23" s="10"/>
      <c r="F23" s="11"/>
      <c r="G23" s="12"/>
      <c r="H23" s="12"/>
      <c r="I23" s="13" t="str">
        <f aca="true">IF(A23="","",IF(H23&lt;&gt;"","已付",IF(AND(G23&lt;&gt;"",TODAY()&gt;G23),"逾期","未付")))</f>
        <v/>
      </c>
    </row>
    <row r="24" customFormat="false" ht="15" hidden="false" customHeight="false" outlineLevel="0" collapsed="false">
      <c r="A24" s="10"/>
      <c r="B24" s="10"/>
      <c r="C24" s="10"/>
      <c r="D24" s="12"/>
      <c r="E24" s="10"/>
      <c r="F24" s="11"/>
      <c r="G24" s="12"/>
      <c r="H24" s="12"/>
      <c r="I24" s="13" t="str">
        <f aca="true">IF(A24="","",IF(H24&lt;&gt;"","已付",IF(AND(G24&lt;&gt;"",TODAY()&gt;G24),"逾期","未付")))</f>
        <v/>
      </c>
    </row>
    <row r="25" customFormat="false" ht="15" hidden="false" customHeight="false" outlineLevel="0" collapsed="false">
      <c r="A25" s="10"/>
      <c r="B25" s="10"/>
      <c r="C25" s="10"/>
      <c r="D25" s="12"/>
      <c r="E25" s="10"/>
      <c r="F25" s="11"/>
      <c r="G25" s="12"/>
      <c r="H25" s="12"/>
      <c r="I25" s="13" t="str">
        <f aca="true">IF(A25="","",IF(H25&lt;&gt;"","已付",IF(AND(G25&lt;&gt;"",TODAY()&gt;G25),"逾期","未付")))</f>
        <v/>
      </c>
    </row>
    <row r="26" customFormat="false" ht="15" hidden="false" customHeight="false" outlineLevel="0" collapsed="false">
      <c r="A26" s="10"/>
      <c r="B26" s="10"/>
      <c r="C26" s="10"/>
      <c r="D26" s="12"/>
      <c r="E26" s="10"/>
      <c r="F26" s="11"/>
      <c r="G26" s="12"/>
      <c r="H26" s="12"/>
      <c r="I26" s="13" t="str">
        <f aca="true">IF(A26="","",IF(H26&lt;&gt;"","已付",IF(AND(G26&lt;&gt;"",TODAY()&gt;G26),"逾期","未付")))</f>
        <v/>
      </c>
    </row>
    <row r="27" customFormat="false" ht="15" hidden="false" customHeight="false" outlineLevel="0" collapsed="false">
      <c r="A27" s="10"/>
      <c r="B27" s="10"/>
      <c r="C27" s="10"/>
      <c r="D27" s="12"/>
      <c r="E27" s="10"/>
      <c r="F27" s="11"/>
      <c r="G27" s="12"/>
      <c r="H27" s="12"/>
      <c r="I27" s="13" t="str">
        <f aca="true">IF(A27="","",IF(H27&lt;&gt;"","已付",IF(AND(G27&lt;&gt;"",TODAY()&gt;G27),"逾期","未付")))</f>
        <v/>
      </c>
    </row>
    <row r="28" customFormat="false" ht="15" hidden="false" customHeight="false" outlineLevel="0" collapsed="false">
      <c r="A28" s="10"/>
      <c r="B28" s="10"/>
      <c r="C28" s="10"/>
      <c r="D28" s="12"/>
      <c r="E28" s="10"/>
      <c r="F28" s="11"/>
      <c r="G28" s="12"/>
      <c r="H28" s="12"/>
      <c r="I28" s="13" t="str">
        <f aca="true">IF(A28="","",IF(H28&lt;&gt;"","已付",IF(AND(G28&lt;&gt;"",TODAY()&gt;G28),"逾期","未付")))</f>
        <v/>
      </c>
    </row>
    <row r="29" customFormat="false" ht="15" hidden="false" customHeight="false" outlineLevel="0" collapsed="false">
      <c r="A29" s="10"/>
      <c r="B29" s="10"/>
      <c r="C29" s="10"/>
      <c r="D29" s="12"/>
      <c r="E29" s="10"/>
      <c r="F29" s="11"/>
      <c r="G29" s="12"/>
      <c r="H29" s="12"/>
      <c r="I29" s="13" t="str">
        <f aca="true">IF(A29="","",IF(H29&lt;&gt;"","已付",IF(AND(G29&lt;&gt;"",TODAY()&gt;G29),"逾期","未付")))</f>
        <v/>
      </c>
    </row>
    <row r="30" customFormat="false" ht="15" hidden="false" customHeight="false" outlineLevel="0" collapsed="false">
      <c r="A30" s="10"/>
      <c r="B30" s="10"/>
      <c r="C30" s="10"/>
      <c r="D30" s="12"/>
      <c r="E30" s="10"/>
      <c r="F30" s="11"/>
      <c r="G30" s="12"/>
      <c r="H30" s="12"/>
      <c r="I30" s="13" t="str">
        <f aca="true">IF(A30="","",IF(H30&lt;&gt;"","已付",IF(AND(G30&lt;&gt;"",TODAY()&gt;G30),"逾期","未付")))</f>
        <v/>
      </c>
    </row>
    <row r="31" customFormat="false" ht="15" hidden="false" customHeight="false" outlineLevel="0" collapsed="false">
      <c r="A31" s="10"/>
      <c r="B31" s="10"/>
      <c r="C31" s="10"/>
      <c r="D31" s="12"/>
      <c r="E31" s="10"/>
      <c r="F31" s="11"/>
      <c r="G31" s="12"/>
      <c r="H31" s="12"/>
      <c r="I31" s="13" t="str">
        <f aca="true">IF(A31="","",IF(H31&lt;&gt;"","已付",IF(AND(G31&lt;&gt;"",TODAY()&gt;G31),"逾期","未付")))</f>
        <v/>
      </c>
    </row>
    <row r="32" customFormat="false" ht="15" hidden="false" customHeight="false" outlineLevel="0" collapsed="false">
      <c r="A32" s="10"/>
      <c r="B32" s="10"/>
      <c r="C32" s="10"/>
      <c r="D32" s="12"/>
      <c r="E32" s="10"/>
      <c r="F32" s="11"/>
      <c r="G32" s="12"/>
      <c r="H32" s="12"/>
      <c r="I32" s="13" t="str">
        <f aca="true">IF(A32="","",IF(H32&lt;&gt;"","已付",IF(AND(G32&lt;&gt;"",TODAY()&gt;G32),"逾期","未付")))</f>
        <v/>
      </c>
    </row>
    <row r="33" customFormat="false" ht="15" hidden="false" customHeight="false" outlineLevel="0" collapsed="false">
      <c r="A33" s="10"/>
      <c r="B33" s="10"/>
      <c r="C33" s="10"/>
      <c r="D33" s="12"/>
      <c r="E33" s="10"/>
      <c r="F33" s="11"/>
      <c r="G33" s="12"/>
      <c r="H33" s="12"/>
      <c r="I33" s="13" t="str">
        <f aca="true">IF(A33="","",IF(H33&lt;&gt;"","已付",IF(AND(G33&lt;&gt;"",TODAY()&gt;G33),"逾期","未付")))</f>
        <v/>
      </c>
    </row>
    <row r="34" customFormat="false" ht="15" hidden="false" customHeight="false" outlineLevel="0" collapsed="false">
      <c r="A34" s="10"/>
      <c r="B34" s="10"/>
      <c r="C34" s="10"/>
      <c r="D34" s="12"/>
      <c r="E34" s="10"/>
      <c r="F34" s="11"/>
      <c r="G34" s="12"/>
      <c r="H34" s="12"/>
      <c r="I34" s="13" t="str">
        <f aca="true">IF(A34="","",IF(H34&lt;&gt;"","已付",IF(AND(G34&lt;&gt;"",TODAY()&gt;G34),"逾期","未付")))</f>
        <v/>
      </c>
    </row>
    <row r="35" customFormat="false" ht="15" hidden="false" customHeight="false" outlineLevel="0" collapsed="false">
      <c r="A35" s="10"/>
      <c r="B35" s="10"/>
      <c r="C35" s="10"/>
      <c r="D35" s="12"/>
      <c r="E35" s="10"/>
      <c r="F35" s="11"/>
      <c r="G35" s="12"/>
      <c r="H35" s="12"/>
      <c r="I35" s="13" t="str">
        <f aca="true">IF(A35="","",IF(H35&lt;&gt;"","已付",IF(AND(G35&lt;&gt;"",TODAY()&gt;G35),"逾期","未付")))</f>
        <v/>
      </c>
    </row>
    <row r="36" customFormat="false" ht="15" hidden="false" customHeight="false" outlineLevel="0" collapsed="false">
      <c r="A36" s="10"/>
      <c r="B36" s="10"/>
      <c r="C36" s="10"/>
      <c r="D36" s="12"/>
      <c r="E36" s="10"/>
      <c r="F36" s="11"/>
      <c r="G36" s="12"/>
      <c r="H36" s="12"/>
      <c r="I36" s="13" t="str">
        <f aca="true">IF(A36="","",IF(H36&lt;&gt;"","已付",IF(AND(G36&lt;&gt;"",TODAY()&gt;G36),"逾期","未付")))</f>
        <v/>
      </c>
    </row>
    <row r="37" customFormat="false" ht="15" hidden="false" customHeight="false" outlineLevel="0" collapsed="false">
      <c r="A37" s="10"/>
      <c r="B37" s="10"/>
      <c r="C37" s="10"/>
      <c r="D37" s="12"/>
      <c r="E37" s="10"/>
      <c r="F37" s="11"/>
      <c r="G37" s="12"/>
      <c r="H37" s="12"/>
      <c r="I37" s="13" t="str">
        <f aca="true">IF(A37="","",IF(H37&lt;&gt;"","已付",IF(AND(G37&lt;&gt;"",TODAY()&gt;G37),"逾期","未付")))</f>
        <v/>
      </c>
    </row>
    <row r="38" customFormat="false" ht="15" hidden="false" customHeight="false" outlineLevel="0" collapsed="false">
      <c r="A38" s="10"/>
      <c r="B38" s="10"/>
      <c r="C38" s="10"/>
      <c r="D38" s="12"/>
      <c r="E38" s="10"/>
      <c r="F38" s="11"/>
      <c r="G38" s="12"/>
      <c r="H38" s="12"/>
      <c r="I38" s="13" t="str">
        <f aca="true">IF(A38="","",IF(H38&lt;&gt;"","已付",IF(AND(G38&lt;&gt;"",TODAY()&gt;G38),"逾期","未付")))</f>
        <v/>
      </c>
    </row>
    <row r="39" customFormat="false" ht="15" hidden="false" customHeight="false" outlineLevel="0" collapsed="false">
      <c r="A39" s="10"/>
      <c r="B39" s="10"/>
      <c r="C39" s="10"/>
      <c r="D39" s="12"/>
      <c r="E39" s="10"/>
      <c r="F39" s="11"/>
      <c r="G39" s="12"/>
      <c r="H39" s="12"/>
      <c r="I39" s="13" t="str">
        <f aca="true">IF(A39="","",IF(H39&lt;&gt;"","已付",IF(AND(G39&lt;&gt;"",TODAY()&gt;G39),"逾期","未付")))</f>
        <v/>
      </c>
    </row>
    <row r="40" customFormat="false" ht="15" hidden="false" customHeight="false" outlineLevel="0" collapsed="false">
      <c r="A40" s="10"/>
      <c r="B40" s="10"/>
      <c r="C40" s="10"/>
      <c r="D40" s="12"/>
      <c r="E40" s="10"/>
      <c r="F40" s="11"/>
      <c r="G40" s="12"/>
      <c r="H40" s="12"/>
      <c r="I40" s="13" t="str">
        <f aca="true">IF(A40="","",IF(H40&lt;&gt;"","已付",IF(AND(G40&lt;&gt;"",TODAY()&gt;G40),"逾期","未付")))</f>
        <v/>
      </c>
    </row>
    <row r="41" customFormat="false" ht="15" hidden="false" customHeight="false" outlineLevel="0" collapsed="false">
      <c r="A41" s="10"/>
      <c r="B41" s="10"/>
      <c r="C41" s="10"/>
      <c r="D41" s="12"/>
      <c r="E41" s="10"/>
      <c r="F41" s="11"/>
      <c r="G41" s="12"/>
      <c r="H41" s="12"/>
      <c r="I41" s="13" t="str">
        <f aca="true">IF(A41="","",IF(H41&lt;&gt;"","已付",IF(AND(G41&lt;&gt;"",TODAY()&gt;G41),"逾期","未付")))</f>
        <v/>
      </c>
    </row>
    <row r="42" customFormat="false" ht="15" hidden="false" customHeight="false" outlineLevel="0" collapsed="false">
      <c r="A42" s="10"/>
      <c r="B42" s="10"/>
      <c r="C42" s="10"/>
      <c r="D42" s="12"/>
      <c r="E42" s="10"/>
      <c r="F42" s="11"/>
      <c r="G42" s="12"/>
      <c r="H42" s="12"/>
      <c r="I42" s="13" t="str">
        <f aca="true">IF(A42="","",IF(H42&lt;&gt;"","已付",IF(AND(G42&lt;&gt;"",TODAY()&gt;G42),"逾期","未付")))</f>
        <v/>
      </c>
    </row>
    <row r="43" customFormat="false" ht="15" hidden="false" customHeight="false" outlineLevel="0" collapsed="false">
      <c r="A43" s="10"/>
      <c r="B43" s="10"/>
      <c r="C43" s="10"/>
      <c r="D43" s="12"/>
      <c r="E43" s="10"/>
      <c r="F43" s="11"/>
      <c r="G43" s="12"/>
      <c r="H43" s="12"/>
      <c r="I43" s="13" t="str">
        <f aca="true">IF(A43="","",IF(H43&lt;&gt;"","已付",IF(AND(G43&lt;&gt;"",TODAY()&gt;G43),"逾期","未付")))</f>
        <v/>
      </c>
    </row>
    <row r="44" customFormat="false" ht="15" hidden="false" customHeight="false" outlineLevel="0" collapsed="false">
      <c r="A44" s="10"/>
      <c r="B44" s="10"/>
      <c r="C44" s="10"/>
      <c r="D44" s="12"/>
      <c r="E44" s="10"/>
      <c r="F44" s="11"/>
      <c r="G44" s="12"/>
      <c r="H44" s="12"/>
      <c r="I44" s="13" t="str">
        <f aca="true">IF(A44="","",IF(H44&lt;&gt;"","已付",IF(AND(G44&lt;&gt;"",TODAY()&gt;G44),"逾期","未付")))</f>
        <v/>
      </c>
    </row>
    <row r="45" customFormat="false" ht="15" hidden="false" customHeight="false" outlineLevel="0" collapsed="false">
      <c r="A45" s="10"/>
      <c r="B45" s="10"/>
      <c r="C45" s="10"/>
      <c r="D45" s="12"/>
      <c r="E45" s="10"/>
      <c r="F45" s="11"/>
      <c r="G45" s="12"/>
      <c r="H45" s="12"/>
      <c r="I45" s="13" t="str">
        <f aca="true">IF(A45="","",IF(H45&lt;&gt;"","已付",IF(AND(G45&lt;&gt;"",TODAY()&gt;G45),"逾期","未付")))</f>
        <v/>
      </c>
    </row>
    <row r="46" customFormat="false" ht="15" hidden="false" customHeight="false" outlineLevel="0" collapsed="false">
      <c r="A46" s="10"/>
      <c r="B46" s="10"/>
      <c r="C46" s="10"/>
      <c r="D46" s="12"/>
      <c r="E46" s="10"/>
      <c r="F46" s="11"/>
      <c r="G46" s="12"/>
      <c r="H46" s="12"/>
      <c r="I46" s="13" t="str">
        <f aca="true">IF(A46="","",IF(H46&lt;&gt;"","已付",IF(AND(G46&lt;&gt;"",TODAY()&gt;G46),"逾期","未付")))</f>
        <v/>
      </c>
    </row>
    <row r="47" customFormat="false" ht="15" hidden="false" customHeight="false" outlineLevel="0" collapsed="false">
      <c r="A47" s="10"/>
      <c r="B47" s="10"/>
      <c r="C47" s="10"/>
      <c r="D47" s="12"/>
      <c r="E47" s="10"/>
      <c r="F47" s="11"/>
      <c r="G47" s="12"/>
      <c r="H47" s="12"/>
      <c r="I47" s="13" t="str">
        <f aca="true">IF(A47="","",IF(H47&lt;&gt;"","已付",IF(AND(G47&lt;&gt;"",TODAY()&gt;G47),"逾期","未付")))</f>
        <v/>
      </c>
    </row>
    <row r="48" customFormat="false" ht="15" hidden="false" customHeight="false" outlineLevel="0" collapsed="false">
      <c r="A48" s="10"/>
      <c r="B48" s="10"/>
      <c r="C48" s="10"/>
      <c r="D48" s="12"/>
      <c r="E48" s="10"/>
      <c r="F48" s="11"/>
      <c r="G48" s="12"/>
      <c r="H48" s="12"/>
      <c r="I48" s="13" t="str">
        <f aca="true">IF(A48="","",IF(H48&lt;&gt;"","已付",IF(AND(G48&lt;&gt;"",TODAY()&gt;G48),"逾期","未付")))</f>
        <v/>
      </c>
    </row>
    <row r="49" customFormat="false" ht="15" hidden="false" customHeight="false" outlineLevel="0" collapsed="false">
      <c r="A49" s="10"/>
      <c r="B49" s="10"/>
      <c r="C49" s="10"/>
      <c r="D49" s="12"/>
      <c r="E49" s="10"/>
      <c r="F49" s="11"/>
      <c r="G49" s="12"/>
      <c r="H49" s="12"/>
      <c r="I49" s="13" t="str">
        <f aca="true">IF(A49="","",IF(H49&lt;&gt;"","已付",IF(AND(G49&lt;&gt;"",TODAY()&gt;G49),"逾期","未付")))</f>
        <v/>
      </c>
    </row>
    <row r="50" customFormat="false" ht="15" hidden="false" customHeight="false" outlineLevel="0" collapsed="false">
      <c r="A50" s="10"/>
      <c r="B50" s="10"/>
      <c r="C50" s="10"/>
      <c r="D50" s="12"/>
      <c r="E50" s="10"/>
      <c r="F50" s="11"/>
      <c r="G50" s="12"/>
      <c r="H50" s="12"/>
      <c r="I50" s="13" t="str">
        <f aca="true">IF(A50="","",IF(H50&lt;&gt;"","已付",IF(AND(G50&lt;&gt;"",TODAY()&gt;G50),"逾期","未付")))</f>
        <v/>
      </c>
    </row>
    <row r="51" customFormat="false" ht="15" hidden="false" customHeight="false" outlineLevel="0" collapsed="false">
      <c r="A51" s="10"/>
      <c r="B51" s="10"/>
      <c r="C51" s="10"/>
      <c r="D51" s="12"/>
      <c r="E51" s="10"/>
      <c r="F51" s="11"/>
      <c r="G51" s="12"/>
      <c r="H51" s="12"/>
      <c r="I51" s="13" t="str">
        <f aca="true">IF(A51="","",IF(H51&lt;&gt;"","已付",IF(AND(G51&lt;&gt;"",TODAY()&gt;G51),"逾期","未付")))</f>
        <v/>
      </c>
    </row>
    <row r="52" customFormat="false" ht="15" hidden="false" customHeight="false" outlineLevel="0" collapsed="false">
      <c r="A52" s="10"/>
      <c r="B52" s="10"/>
      <c r="C52" s="10"/>
      <c r="D52" s="12"/>
      <c r="E52" s="10"/>
      <c r="F52" s="11"/>
      <c r="G52" s="12"/>
      <c r="H52" s="12"/>
      <c r="I52" s="13" t="str">
        <f aca="true">IF(A52="","",IF(H52&lt;&gt;"","已付",IF(AND(G52&lt;&gt;"",TODAY()&gt;G52),"逾期","未付")))</f>
        <v/>
      </c>
    </row>
    <row r="53" customFormat="false" ht="15" hidden="false" customHeight="false" outlineLevel="0" collapsed="false">
      <c r="A53" s="10"/>
      <c r="B53" s="10"/>
      <c r="C53" s="10"/>
      <c r="D53" s="12"/>
      <c r="E53" s="10"/>
      <c r="F53" s="11"/>
      <c r="G53" s="12"/>
      <c r="H53" s="12"/>
      <c r="I53" s="13" t="str">
        <f aca="true">IF(A53="","",IF(H53&lt;&gt;"","已付",IF(AND(G53&lt;&gt;"",TODAY()&gt;G53),"逾期","未付")))</f>
        <v/>
      </c>
    </row>
    <row r="54" customFormat="false" ht="15" hidden="false" customHeight="false" outlineLevel="0" collapsed="false">
      <c r="A54" s="10"/>
      <c r="B54" s="10"/>
      <c r="C54" s="10"/>
      <c r="D54" s="12"/>
      <c r="E54" s="10"/>
      <c r="F54" s="11"/>
      <c r="G54" s="12"/>
      <c r="H54" s="12"/>
      <c r="I54" s="13" t="str">
        <f aca="true">IF(A54="","",IF(H54&lt;&gt;"","已付",IF(AND(G54&lt;&gt;"",TODAY()&gt;G54),"逾期","未付")))</f>
        <v/>
      </c>
    </row>
    <row r="55" customFormat="false" ht="15" hidden="false" customHeight="false" outlineLevel="0" collapsed="false">
      <c r="A55" s="10"/>
      <c r="B55" s="10"/>
      <c r="C55" s="10"/>
      <c r="D55" s="12"/>
      <c r="E55" s="10"/>
      <c r="F55" s="11"/>
      <c r="G55" s="12"/>
      <c r="H55" s="12"/>
      <c r="I55" s="13" t="str">
        <f aca="true">IF(A55="","",IF(H55&lt;&gt;"","已付",IF(AND(G55&lt;&gt;"",TODAY()&gt;G55),"逾期","未付")))</f>
        <v/>
      </c>
    </row>
    <row r="56" customFormat="false" ht="15" hidden="false" customHeight="false" outlineLevel="0" collapsed="false">
      <c r="A56" s="10"/>
      <c r="B56" s="10"/>
      <c r="C56" s="10"/>
      <c r="D56" s="12"/>
      <c r="E56" s="10"/>
      <c r="F56" s="11"/>
      <c r="G56" s="12"/>
      <c r="H56" s="12"/>
      <c r="I56" s="13" t="str">
        <f aca="true">IF(A56="","",IF(H56&lt;&gt;"","已付",IF(AND(G56&lt;&gt;"",TODAY()&gt;G56),"逾期","未付")))</f>
        <v/>
      </c>
    </row>
    <row r="57" customFormat="false" ht="15" hidden="false" customHeight="false" outlineLevel="0" collapsed="false">
      <c r="A57" s="10"/>
      <c r="B57" s="10"/>
      <c r="C57" s="10"/>
      <c r="D57" s="12"/>
      <c r="E57" s="10"/>
      <c r="F57" s="11"/>
      <c r="G57" s="12"/>
      <c r="H57" s="12"/>
      <c r="I57" s="13" t="str">
        <f aca="true">IF(A57="","",IF(H57&lt;&gt;"","已付",IF(AND(G57&lt;&gt;"",TODAY()&gt;G57),"逾期","未付")))</f>
        <v/>
      </c>
    </row>
    <row r="58" customFormat="false" ht="15" hidden="false" customHeight="false" outlineLevel="0" collapsed="false">
      <c r="A58" s="10"/>
      <c r="B58" s="10"/>
      <c r="C58" s="10"/>
      <c r="D58" s="12"/>
      <c r="E58" s="10"/>
      <c r="F58" s="11"/>
      <c r="G58" s="12"/>
      <c r="H58" s="12"/>
      <c r="I58" s="13" t="str">
        <f aca="true">IF(A58="","",IF(H58&lt;&gt;"","已付",IF(AND(G58&lt;&gt;"",TODAY()&gt;G58),"逾期","未付")))</f>
        <v/>
      </c>
    </row>
    <row r="59" customFormat="false" ht="15" hidden="false" customHeight="false" outlineLevel="0" collapsed="false">
      <c r="A59" s="10"/>
      <c r="B59" s="10"/>
      <c r="C59" s="10"/>
      <c r="D59" s="12"/>
      <c r="E59" s="10"/>
      <c r="F59" s="11"/>
      <c r="G59" s="12"/>
      <c r="H59" s="12"/>
      <c r="I59" s="13" t="str">
        <f aca="true">IF(A59="","",IF(H59&lt;&gt;"","已付",IF(AND(G59&lt;&gt;"",TODAY()&gt;G59),"逾期","未付")))</f>
        <v/>
      </c>
    </row>
    <row r="60" customFormat="false" ht="15" hidden="false" customHeight="false" outlineLevel="0" collapsed="false">
      <c r="A60" s="10"/>
      <c r="B60" s="10"/>
      <c r="C60" s="10"/>
      <c r="D60" s="12"/>
      <c r="E60" s="10"/>
      <c r="F60" s="11"/>
      <c r="G60" s="12"/>
      <c r="H60" s="12"/>
      <c r="I60" s="13" t="str">
        <f aca="true">IF(A60="","",IF(H60&lt;&gt;"","已付",IF(AND(G60&lt;&gt;"",TODAY()&gt;G60),"逾期","未付")))</f>
        <v/>
      </c>
    </row>
    <row r="61" customFormat="false" ht="15" hidden="false" customHeight="false" outlineLevel="0" collapsed="false">
      <c r="A61" s="10"/>
      <c r="B61" s="10"/>
      <c r="C61" s="10"/>
      <c r="D61" s="12"/>
      <c r="E61" s="10"/>
      <c r="F61" s="11"/>
      <c r="G61" s="12"/>
      <c r="H61" s="12"/>
      <c r="I61" s="13" t="str">
        <f aca="true">IF(A61="","",IF(H61&lt;&gt;"","已付",IF(AND(G61&lt;&gt;"",TODAY()&gt;G61),"逾期","未付")))</f>
        <v/>
      </c>
    </row>
    <row r="62" customFormat="false" ht="15" hidden="false" customHeight="false" outlineLevel="0" collapsed="false">
      <c r="A62" s="10"/>
      <c r="B62" s="10"/>
      <c r="C62" s="10"/>
      <c r="D62" s="12"/>
      <c r="E62" s="10"/>
      <c r="F62" s="11"/>
      <c r="G62" s="12"/>
      <c r="H62" s="12"/>
      <c r="I62" s="13" t="str">
        <f aca="true">IF(A62="","",IF(H62&lt;&gt;"","已付",IF(AND(G62&lt;&gt;"",TODAY()&gt;G62),"逾期","未付")))</f>
        <v/>
      </c>
    </row>
    <row r="63" customFormat="false" ht="15" hidden="false" customHeight="false" outlineLevel="0" collapsed="false">
      <c r="A63" s="10"/>
      <c r="B63" s="10"/>
      <c r="C63" s="10"/>
      <c r="D63" s="12"/>
      <c r="E63" s="10"/>
      <c r="F63" s="11"/>
      <c r="G63" s="12"/>
      <c r="H63" s="12"/>
      <c r="I63" s="13" t="str">
        <f aca="true">IF(A63="","",IF(H63&lt;&gt;"","已付",IF(AND(G63&lt;&gt;"",TODAY()&gt;G63),"逾期","未付")))</f>
        <v/>
      </c>
    </row>
    <row r="64" customFormat="false" ht="15" hidden="false" customHeight="false" outlineLevel="0" collapsed="false">
      <c r="A64" s="10"/>
      <c r="B64" s="10"/>
      <c r="C64" s="10"/>
      <c r="D64" s="12"/>
      <c r="E64" s="10"/>
      <c r="F64" s="11"/>
      <c r="G64" s="12"/>
      <c r="H64" s="12"/>
      <c r="I64" s="13" t="str">
        <f aca="true">IF(A64="","",IF(H64&lt;&gt;"","已付",IF(AND(G64&lt;&gt;"",TODAY()&gt;G64),"逾期","未付")))</f>
        <v/>
      </c>
    </row>
    <row r="65" customFormat="false" ht="15" hidden="false" customHeight="false" outlineLevel="0" collapsed="false">
      <c r="A65" s="10"/>
      <c r="B65" s="10"/>
      <c r="C65" s="10"/>
      <c r="D65" s="12"/>
      <c r="E65" s="10"/>
      <c r="F65" s="11"/>
      <c r="G65" s="12"/>
      <c r="H65" s="12"/>
      <c r="I65" s="13" t="str">
        <f aca="true">IF(A65="","",IF(H65&lt;&gt;"","已付",IF(AND(G65&lt;&gt;"",TODAY()&gt;G65),"逾期","未付")))</f>
        <v/>
      </c>
    </row>
    <row r="66" customFormat="false" ht="15" hidden="false" customHeight="false" outlineLevel="0" collapsed="false">
      <c r="A66" s="10"/>
      <c r="B66" s="10"/>
      <c r="C66" s="10"/>
      <c r="D66" s="12"/>
      <c r="E66" s="10"/>
      <c r="F66" s="11"/>
      <c r="G66" s="12"/>
      <c r="H66" s="12"/>
      <c r="I66" s="13" t="str">
        <f aca="true">IF(A66="","",IF(H66&lt;&gt;"","已付",IF(AND(G66&lt;&gt;"",TODAY()&gt;G66),"逾期","未付")))</f>
        <v/>
      </c>
    </row>
    <row r="67" customFormat="false" ht="15" hidden="false" customHeight="false" outlineLevel="0" collapsed="false">
      <c r="A67" s="10"/>
      <c r="B67" s="10"/>
      <c r="C67" s="10"/>
      <c r="D67" s="12"/>
      <c r="E67" s="10"/>
      <c r="F67" s="11"/>
      <c r="G67" s="12"/>
      <c r="H67" s="12"/>
      <c r="I67" s="13" t="str">
        <f aca="true">IF(A67="","",IF(H67&lt;&gt;"","已付",IF(AND(G67&lt;&gt;"",TODAY()&gt;G67),"逾期","未付")))</f>
        <v/>
      </c>
    </row>
    <row r="68" customFormat="false" ht="15" hidden="false" customHeight="false" outlineLevel="0" collapsed="false">
      <c r="A68" s="10"/>
      <c r="B68" s="10"/>
      <c r="C68" s="10"/>
      <c r="D68" s="12"/>
      <c r="E68" s="10"/>
      <c r="F68" s="11"/>
      <c r="G68" s="12"/>
      <c r="H68" s="12"/>
      <c r="I68" s="13" t="str">
        <f aca="true">IF(A68="","",IF(H68&lt;&gt;"","已付",IF(AND(G68&lt;&gt;"",TODAY()&gt;G68),"逾期","未付")))</f>
        <v/>
      </c>
    </row>
    <row r="69" customFormat="false" ht="15" hidden="false" customHeight="false" outlineLevel="0" collapsed="false">
      <c r="A69" s="10"/>
      <c r="B69" s="10"/>
      <c r="C69" s="10"/>
      <c r="D69" s="12"/>
      <c r="E69" s="10"/>
      <c r="F69" s="11"/>
      <c r="G69" s="12"/>
      <c r="H69" s="12"/>
      <c r="I69" s="13" t="str">
        <f aca="true">IF(A69="","",IF(H69&lt;&gt;"","已付",IF(AND(G69&lt;&gt;"",TODAY()&gt;G69),"逾期","未付")))</f>
        <v/>
      </c>
    </row>
    <row r="70" customFormat="false" ht="15" hidden="false" customHeight="false" outlineLevel="0" collapsed="false">
      <c r="A70" s="10"/>
      <c r="B70" s="10"/>
      <c r="C70" s="10"/>
      <c r="D70" s="12"/>
      <c r="E70" s="10"/>
      <c r="F70" s="11"/>
      <c r="G70" s="12"/>
      <c r="H70" s="12"/>
      <c r="I70" s="13" t="str">
        <f aca="true">IF(A70="","",IF(H70&lt;&gt;"","已付",IF(AND(G70&lt;&gt;"",TODAY()&gt;G70),"逾期","未付")))</f>
        <v/>
      </c>
    </row>
    <row r="71" customFormat="false" ht="15" hidden="false" customHeight="false" outlineLevel="0" collapsed="false">
      <c r="A71" s="10"/>
      <c r="B71" s="10"/>
      <c r="C71" s="10"/>
      <c r="D71" s="12"/>
      <c r="E71" s="10"/>
      <c r="F71" s="11"/>
      <c r="G71" s="12"/>
      <c r="H71" s="12"/>
      <c r="I71" s="13" t="str">
        <f aca="true">IF(A71="","",IF(H71&lt;&gt;"","已付",IF(AND(G71&lt;&gt;"",TODAY()&gt;G71),"逾期","未付")))</f>
        <v/>
      </c>
    </row>
    <row r="72" customFormat="false" ht="15" hidden="false" customHeight="false" outlineLevel="0" collapsed="false">
      <c r="A72" s="10"/>
      <c r="B72" s="10"/>
      <c r="C72" s="10"/>
      <c r="D72" s="12"/>
      <c r="E72" s="10"/>
      <c r="F72" s="11"/>
      <c r="G72" s="12"/>
      <c r="H72" s="12"/>
      <c r="I72" s="13" t="str">
        <f aca="true">IF(A72="","",IF(H72&lt;&gt;"","已付",IF(AND(G72&lt;&gt;"",TODAY()&gt;G72),"逾期","未付")))</f>
        <v/>
      </c>
    </row>
    <row r="73" customFormat="false" ht="15" hidden="false" customHeight="false" outlineLevel="0" collapsed="false">
      <c r="A73" s="10"/>
      <c r="B73" s="10"/>
      <c r="C73" s="10"/>
      <c r="D73" s="12"/>
      <c r="E73" s="10"/>
      <c r="F73" s="11"/>
      <c r="G73" s="12"/>
      <c r="H73" s="12"/>
      <c r="I73" s="13" t="str">
        <f aca="true">IF(A73="","",IF(H73&lt;&gt;"","已付",IF(AND(G73&lt;&gt;"",TODAY()&gt;G73),"逾期","未付")))</f>
        <v/>
      </c>
    </row>
    <row r="74" customFormat="false" ht="15" hidden="false" customHeight="false" outlineLevel="0" collapsed="false">
      <c r="A74" s="10"/>
      <c r="B74" s="10"/>
      <c r="C74" s="10"/>
      <c r="D74" s="12"/>
      <c r="E74" s="10"/>
      <c r="F74" s="11"/>
      <c r="G74" s="12"/>
      <c r="H74" s="12"/>
      <c r="I74" s="13" t="str">
        <f aca="true">IF(A74="","",IF(H74&lt;&gt;"","已付",IF(AND(G74&lt;&gt;"",TODAY()&gt;G74),"逾期","未付")))</f>
        <v/>
      </c>
    </row>
    <row r="75" customFormat="false" ht="15" hidden="false" customHeight="false" outlineLevel="0" collapsed="false">
      <c r="A75" s="10"/>
      <c r="B75" s="10"/>
      <c r="C75" s="10"/>
      <c r="D75" s="12"/>
      <c r="E75" s="10"/>
      <c r="F75" s="11"/>
      <c r="G75" s="12"/>
      <c r="H75" s="12"/>
      <c r="I75" s="13" t="str">
        <f aca="true">IF(A75="","",IF(H75&lt;&gt;"","已付",IF(AND(G75&lt;&gt;"",TODAY()&gt;G75),"逾期","未付")))</f>
        <v/>
      </c>
    </row>
    <row r="76" customFormat="false" ht="15" hidden="false" customHeight="false" outlineLevel="0" collapsed="false">
      <c r="A76" s="10"/>
      <c r="B76" s="10"/>
      <c r="C76" s="10"/>
      <c r="D76" s="12"/>
      <c r="E76" s="10"/>
      <c r="F76" s="11"/>
      <c r="G76" s="12"/>
      <c r="H76" s="12"/>
      <c r="I76" s="13" t="str">
        <f aca="true">IF(A76="","",IF(H76&lt;&gt;"","已付",IF(AND(G76&lt;&gt;"",TODAY()&gt;G76),"逾期","未付")))</f>
        <v/>
      </c>
    </row>
    <row r="77" customFormat="false" ht="15" hidden="false" customHeight="false" outlineLevel="0" collapsed="false">
      <c r="A77" s="10"/>
      <c r="B77" s="10"/>
      <c r="C77" s="10"/>
      <c r="D77" s="12"/>
      <c r="E77" s="10"/>
      <c r="F77" s="11"/>
      <c r="G77" s="12"/>
      <c r="H77" s="12"/>
      <c r="I77" s="13" t="str">
        <f aca="true">IF(A77="","",IF(H77&lt;&gt;"","已付",IF(AND(G77&lt;&gt;"",TODAY()&gt;G77),"逾期","未付")))</f>
        <v/>
      </c>
    </row>
    <row r="78" customFormat="false" ht="15" hidden="false" customHeight="false" outlineLevel="0" collapsed="false">
      <c r="A78" s="10"/>
      <c r="B78" s="10"/>
      <c r="C78" s="10"/>
      <c r="D78" s="12"/>
      <c r="E78" s="10"/>
      <c r="F78" s="11"/>
      <c r="G78" s="12"/>
      <c r="H78" s="12"/>
      <c r="I78" s="13" t="str">
        <f aca="true">IF(A78="","",IF(H78&lt;&gt;"","已付",IF(AND(G78&lt;&gt;"",TODAY()&gt;G78),"逾期","未付")))</f>
        <v/>
      </c>
    </row>
    <row r="79" customFormat="false" ht="15" hidden="false" customHeight="false" outlineLevel="0" collapsed="false">
      <c r="A79" s="10"/>
      <c r="B79" s="10"/>
      <c r="C79" s="10"/>
      <c r="D79" s="12"/>
      <c r="E79" s="10"/>
      <c r="F79" s="11"/>
      <c r="G79" s="12"/>
      <c r="H79" s="12"/>
      <c r="I79" s="13" t="str">
        <f aca="true">IF(A79="","",IF(H79&lt;&gt;"","已付",IF(AND(G79&lt;&gt;"",TODAY()&gt;G79),"逾期","未付")))</f>
        <v/>
      </c>
    </row>
    <row r="80" customFormat="false" ht="15" hidden="false" customHeight="false" outlineLevel="0" collapsed="false">
      <c r="A80" s="10"/>
      <c r="B80" s="10"/>
      <c r="C80" s="10"/>
      <c r="D80" s="12"/>
      <c r="E80" s="10"/>
      <c r="F80" s="11"/>
      <c r="G80" s="12"/>
      <c r="H80" s="12"/>
      <c r="I80" s="13" t="str">
        <f aca="true">IF(A80="","",IF(H80&lt;&gt;"","已付",IF(AND(G80&lt;&gt;"",TODAY()&gt;G80),"逾期","未付")))</f>
        <v/>
      </c>
    </row>
    <row r="81" customFormat="false" ht="15" hidden="false" customHeight="false" outlineLevel="0" collapsed="false">
      <c r="A81" s="10"/>
      <c r="B81" s="10"/>
      <c r="C81" s="10"/>
      <c r="D81" s="12"/>
      <c r="E81" s="10"/>
      <c r="F81" s="11"/>
      <c r="G81" s="12"/>
      <c r="H81" s="12"/>
      <c r="I81" s="13" t="str">
        <f aca="true">IF(A81="","",IF(H81&lt;&gt;"","已付",IF(AND(G81&lt;&gt;"",TODAY()&gt;G81),"逾期","未付")))</f>
        <v/>
      </c>
    </row>
    <row r="82" customFormat="false" ht="15" hidden="false" customHeight="false" outlineLevel="0" collapsed="false">
      <c r="A82" s="10"/>
      <c r="B82" s="10"/>
      <c r="C82" s="10"/>
      <c r="D82" s="12"/>
      <c r="E82" s="10"/>
      <c r="F82" s="11"/>
      <c r="G82" s="12"/>
      <c r="H82" s="12"/>
      <c r="I82" s="13" t="str">
        <f aca="true">IF(A82="","",IF(H82&lt;&gt;"","已付",IF(AND(G82&lt;&gt;"",TODAY()&gt;G82),"逾期","未付")))</f>
        <v/>
      </c>
    </row>
    <row r="83" customFormat="false" ht="15" hidden="false" customHeight="false" outlineLevel="0" collapsed="false">
      <c r="A83" s="10"/>
      <c r="B83" s="10"/>
      <c r="C83" s="10"/>
      <c r="D83" s="12"/>
      <c r="E83" s="10"/>
      <c r="F83" s="11"/>
      <c r="G83" s="12"/>
      <c r="H83" s="12"/>
      <c r="I83" s="13" t="str">
        <f aca="true">IF(A83="","",IF(H83&lt;&gt;"","已付",IF(AND(G83&lt;&gt;"",TODAY()&gt;G83),"逾期","未付")))</f>
        <v/>
      </c>
    </row>
    <row r="84" customFormat="false" ht="15" hidden="false" customHeight="false" outlineLevel="0" collapsed="false">
      <c r="A84" s="10"/>
      <c r="B84" s="10"/>
      <c r="C84" s="10"/>
      <c r="D84" s="12"/>
      <c r="E84" s="10"/>
      <c r="F84" s="11"/>
      <c r="G84" s="12"/>
      <c r="H84" s="12"/>
      <c r="I84" s="13" t="str">
        <f aca="true">IF(A84="","",IF(H84&lt;&gt;"","已付",IF(AND(G84&lt;&gt;"",TODAY()&gt;G84),"逾期","未付")))</f>
        <v/>
      </c>
    </row>
    <row r="85" customFormat="false" ht="15" hidden="false" customHeight="false" outlineLevel="0" collapsed="false">
      <c r="A85" s="10"/>
      <c r="B85" s="10"/>
      <c r="C85" s="10"/>
      <c r="D85" s="12"/>
      <c r="E85" s="10"/>
      <c r="F85" s="11"/>
      <c r="G85" s="12"/>
      <c r="H85" s="12"/>
      <c r="I85" s="13" t="str">
        <f aca="true">IF(A85="","",IF(H85&lt;&gt;"","已付",IF(AND(G85&lt;&gt;"",TODAY()&gt;G85),"逾期","未付")))</f>
        <v/>
      </c>
    </row>
    <row r="86" customFormat="false" ht="15" hidden="false" customHeight="false" outlineLevel="0" collapsed="false">
      <c r="A86" s="10"/>
      <c r="B86" s="10"/>
      <c r="C86" s="10"/>
      <c r="D86" s="12"/>
      <c r="E86" s="10"/>
      <c r="F86" s="11"/>
      <c r="G86" s="12"/>
      <c r="H86" s="12"/>
      <c r="I86" s="13" t="str">
        <f aca="true">IF(A86="","",IF(H86&lt;&gt;"","已付",IF(AND(G86&lt;&gt;"",TODAY()&gt;G86),"逾期","未付")))</f>
        <v/>
      </c>
    </row>
    <row r="87" customFormat="false" ht="15" hidden="false" customHeight="false" outlineLevel="0" collapsed="false">
      <c r="A87" s="10"/>
      <c r="B87" s="10"/>
      <c r="C87" s="10"/>
      <c r="D87" s="12"/>
      <c r="E87" s="10"/>
      <c r="F87" s="11"/>
      <c r="G87" s="12"/>
      <c r="H87" s="12"/>
      <c r="I87" s="13" t="str">
        <f aca="true">IF(A87="","",IF(H87&lt;&gt;"","已付",IF(AND(G87&lt;&gt;"",TODAY()&gt;G87),"逾期","未付")))</f>
        <v/>
      </c>
    </row>
    <row r="88" customFormat="false" ht="15" hidden="false" customHeight="false" outlineLevel="0" collapsed="false">
      <c r="A88" s="10"/>
      <c r="B88" s="10"/>
      <c r="C88" s="10"/>
      <c r="D88" s="12"/>
      <c r="E88" s="10"/>
      <c r="F88" s="11"/>
      <c r="G88" s="12"/>
      <c r="H88" s="12"/>
      <c r="I88" s="13" t="str">
        <f aca="true">IF(A88="","",IF(H88&lt;&gt;"","已付",IF(AND(G88&lt;&gt;"",TODAY()&gt;G88),"逾期","未付")))</f>
        <v/>
      </c>
    </row>
    <row r="89" customFormat="false" ht="15" hidden="false" customHeight="false" outlineLevel="0" collapsed="false">
      <c r="A89" s="10"/>
      <c r="B89" s="10"/>
      <c r="C89" s="10"/>
      <c r="D89" s="12"/>
      <c r="E89" s="10"/>
      <c r="F89" s="11"/>
      <c r="G89" s="12"/>
      <c r="H89" s="12"/>
      <c r="I89" s="13" t="str">
        <f aca="true">IF(A89="","",IF(H89&lt;&gt;"","已付",IF(AND(G89&lt;&gt;"",TODAY()&gt;G89),"逾期","未付")))</f>
        <v/>
      </c>
    </row>
    <row r="90" customFormat="false" ht="15" hidden="false" customHeight="false" outlineLevel="0" collapsed="false">
      <c r="A90" s="10"/>
      <c r="B90" s="10"/>
      <c r="C90" s="10"/>
      <c r="D90" s="12"/>
      <c r="E90" s="10"/>
      <c r="F90" s="11"/>
      <c r="G90" s="12"/>
      <c r="H90" s="12"/>
      <c r="I90" s="13" t="str">
        <f aca="true">IF(A90="","",IF(H90&lt;&gt;"","已付",IF(AND(G90&lt;&gt;"",TODAY()&gt;G90),"逾期","未付")))</f>
        <v/>
      </c>
    </row>
    <row r="91" customFormat="false" ht="15" hidden="false" customHeight="false" outlineLevel="0" collapsed="false">
      <c r="A91" s="10"/>
      <c r="B91" s="10"/>
      <c r="C91" s="10"/>
      <c r="D91" s="12"/>
      <c r="E91" s="10"/>
      <c r="F91" s="11"/>
      <c r="G91" s="12"/>
      <c r="H91" s="12"/>
      <c r="I91" s="13" t="str">
        <f aca="true">IF(A91="","",IF(H91&lt;&gt;"","已付",IF(AND(G91&lt;&gt;"",TODAY()&gt;G91),"逾期","未付")))</f>
        <v/>
      </c>
    </row>
    <row r="92" customFormat="false" ht="15" hidden="false" customHeight="false" outlineLevel="0" collapsed="false">
      <c r="A92" s="10"/>
      <c r="B92" s="10"/>
      <c r="C92" s="10"/>
      <c r="D92" s="12"/>
      <c r="E92" s="10"/>
      <c r="F92" s="11"/>
      <c r="G92" s="12"/>
      <c r="H92" s="12"/>
      <c r="I92" s="13" t="str">
        <f aca="true">IF(A92="","",IF(H92&lt;&gt;"","已付",IF(AND(G92&lt;&gt;"",TODAY()&gt;G92),"逾期","未付")))</f>
        <v/>
      </c>
    </row>
    <row r="93" customFormat="false" ht="15" hidden="false" customHeight="false" outlineLevel="0" collapsed="false">
      <c r="A93" s="10"/>
      <c r="B93" s="10"/>
      <c r="C93" s="10"/>
      <c r="D93" s="12"/>
      <c r="E93" s="10"/>
      <c r="F93" s="11"/>
      <c r="G93" s="12"/>
      <c r="H93" s="12"/>
      <c r="I93" s="13" t="str">
        <f aca="true">IF(A93="","",IF(H93&lt;&gt;"","已付",IF(AND(G93&lt;&gt;"",TODAY()&gt;G93),"逾期","未付")))</f>
        <v/>
      </c>
    </row>
    <row r="94" customFormat="false" ht="15" hidden="false" customHeight="false" outlineLevel="0" collapsed="false">
      <c r="A94" s="10"/>
      <c r="B94" s="10"/>
      <c r="C94" s="10"/>
      <c r="D94" s="12"/>
      <c r="E94" s="10"/>
      <c r="F94" s="11"/>
      <c r="G94" s="12"/>
      <c r="H94" s="12"/>
      <c r="I94" s="13" t="str">
        <f aca="true">IF(A94="","",IF(H94&lt;&gt;"","已付",IF(AND(G94&lt;&gt;"",TODAY()&gt;G94),"逾期","未付")))</f>
        <v/>
      </c>
    </row>
    <row r="95" customFormat="false" ht="15" hidden="false" customHeight="false" outlineLevel="0" collapsed="false">
      <c r="A95" s="10"/>
      <c r="B95" s="10"/>
      <c r="C95" s="10"/>
      <c r="D95" s="12"/>
      <c r="E95" s="10"/>
      <c r="F95" s="11"/>
      <c r="G95" s="12"/>
      <c r="H95" s="12"/>
      <c r="I95" s="13" t="str">
        <f aca="true">IF(A95="","",IF(H95&lt;&gt;"","已付",IF(AND(G95&lt;&gt;"",TODAY()&gt;G95),"逾期","未付")))</f>
        <v/>
      </c>
    </row>
    <row r="96" customFormat="false" ht="15" hidden="false" customHeight="false" outlineLevel="0" collapsed="false">
      <c r="A96" s="10"/>
      <c r="B96" s="10"/>
      <c r="C96" s="10"/>
      <c r="D96" s="12"/>
      <c r="E96" s="10"/>
      <c r="F96" s="11"/>
      <c r="G96" s="12"/>
      <c r="H96" s="12"/>
      <c r="I96" s="13" t="str">
        <f aca="true">IF(A96="","",IF(H96&lt;&gt;"","已付",IF(AND(G96&lt;&gt;"",TODAY()&gt;G96),"逾期","未付")))</f>
        <v/>
      </c>
    </row>
    <row r="97" customFormat="false" ht="15" hidden="false" customHeight="false" outlineLevel="0" collapsed="false">
      <c r="A97" s="10"/>
      <c r="B97" s="10"/>
      <c r="C97" s="10"/>
      <c r="D97" s="12"/>
      <c r="E97" s="10"/>
      <c r="F97" s="11"/>
      <c r="G97" s="12"/>
      <c r="H97" s="12"/>
      <c r="I97" s="13" t="str">
        <f aca="true">IF(A97="","",IF(H97&lt;&gt;"","已付",IF(AND(G97&lt;&gt;"",TODAY()&gt;G97),"逾期","未付")))</f>
        <v/>
      </c>
    </row>
    <row r="98" customFormat="false" ht="15" hidden="false" customHeight="false" outlineLevel="0" collapsed="false">
      <c r="A98" s="10"/>
      <c r="B98" s="10"/>
      <c r="C98" s="10"/>
      <c r="D98" s="12"/>
      <c r="E98" s="10"/>
      <c r="F98" s="11"/>
      <c r="G98" s="12"/>
      <c r="H98" s="12"/>
      <c r="I98" s="13" t="str">
        <f aca="true">IF(A98="","",IF(H98&lt;&gt;"","已付",IF(AND(G98&lt;&gt;"",TODAY()&gt;G98),"逾期","未付")))</f>
        <v/>
      </c>
    </row>
    <row r="99" customFormat="false" ht="15" hidden="false" customHeight="false" outlineLevel="0" collapsed="false">
      <c r="A99" s="10"/>
      <c r="B99" s="10"/>
      <c r="C99" s="10"/>
      <c r="D99" s="12"/>
      <c r="E99" s="10"/>
      <c r="F99" s="11"/>
      <c r="G99" s="12"/>
      <c r="H99" s="12"/>
      <c r="I99" s="13" t="str">
        <f aca="true">IF(A99="","",IF(H99&lt;&gt;"","已付",IF(AND(G99&lt;&gt;"",TODAY()&gt;G99),"逾期","未付")))</f>
        <v/>
      </c>
    </row>
    <row r="100" customFormat="false" ht="15" hidden="false" customHeight="false" outlineLevel="0" collapsed="false">
      <c r="A100" s="10"/>
      <c r="B100" s="10"/>
      <c r="C100" s="10"/>
      <c r="D100" s="12"/>
      <c r="E100" s="10"/>
      <c r="F100" s="11"/>
      <c r="G100" s="12"/>
      <c r="H100" s="12"/>
      <c r="I100" s="13" t="str">
        <f aca="true">IF(A100="","",IF(H100&lt;&gt;"","已付",IF(AND(G100&lt;&gt;"",TODAY()&gt;G100),"逾期","未付")))</f>
        <v/>
      </c>
    </row>
    <row r="101" customFormat="false" ht="15" hidden="false" customHeight="false" outlineLevel="0" collapsed="false">
      <c r="A101" s="10"/>
      <c r="B101" s="10"/>
      <c r="C101" s="10"/>
      <c r="D101" s="12"/>
      <c r="E101" s="10"/>
      <c r="F101" s="11"/>
      <c r="G101" s="12"/>
      <c r="H101" s="12"/>
      <c r="I101" s="13" t="str">
        <f aca="true">IF(A101="","",IF(H101&lt;&gt;"","已付",IF(AND(G101&lt;&gt;"",TODAY()&gt;G101),"逾期","未付")))</f>
        <v/>
      </c>
    </row>
    <row r="102" customFormat="false" ht="15" hidden="false" customHeight="false" outlineLevel="0" collapsed="false">
      <c r="A102" s="10"/>
      <c r="B102" s="10"/>
      <c r="C102" s="10"/>
      <c r="D102" s="12"/>
      <c r="E102" s="10"/>
      <c r="F102" s="11"/>
      <c r="G102" s="12"/>
      <c r="H102" s="12"/>
      <c r="I102" s="13" t="str">
        <f aca="true">IF(A102="","",IF(H102&lt;&gt;"","已付",IF(AND(G102&lt;&gt;"",TODAY()&gt;G102),"逾期","未付")))</f>
        <v/>
      </c>
    </row>
    <row r="103" customFormat="false" ht="15" hidden="false" customHeight="false" outlineLevel="0" collapsed="false">
      <c r="A103" s="10"/>
      <c r="B103" s="10"/>
      <c r="C103" s="10"/>
      <c r="D103" s="12"/>
      <c r="E103" s="10"/>
      <c r="F103" s="11"/>
      <c r="G103" s="12"/>
      <c r="H103" s="12"/>
      <c r="I103" s="13" t="str">
        <f aca="true">IF(A103="","",IF(H103&lt;&gt;"","已付",IF(AND(G103&lt;&gt;"",TODAY()&gt;G103),"逾期","未付")))</f>
        <v/>
      </c>
    </row>
    <row r="104" customFormat="false" ht="15" hidden="false" customHeight="false" outlineLevel="0" collapsed="false">
      <c r="A104" s="10"/>
      <c r="B104" s="10"/>
      <c r="C104" s="10"/>
      <c r="D104" s="12"/>
      <c r="E104" s="10"/>
      <c r="F104" s="11"/>
      <c r="G104" s="12"/>
      <c r="H104" s="12"/>
      <c r="I104" s="13" t="str">
        <f aca="true">IF(A104="","",IF(H104&lt;&gt;"","已付",IF(AND(G104&lt;&gt;"",TODAY()&gt;G104),"逾期","未付")))</f>
        <v/>
      </c>
    </row>
    <row r="105" customFormat="false" ht="15" hidden="false" customHeight="false" outlineLevel="0" collapsed="false">
      <c r="A105" s="10"/>
      <c r="B105" s="10"/>
      <c r="C105" s="10"/>
      <c r="D105" s="12"/>
      <c r="E105" s="10"/>
      <c r="F105" s="11"/>
      <c r="G105" s="12"/>
      <c r="H105" s="12"/>
      <c r="I105" s="13" t="str">
        <f aca="true">IF(A105="","",IF(H105&lt;&gt;"","已付",IF(AND(G105&lt;&gt;"",TODAY()&gt;G105),"逾期","未付")))</f>
        <v/>
      </c>
    </row>
    <row r="106" customFormat="false" ht="15" hidden="false" customHeight="false" outlineLevel="0" collapsed="false">
      <c r="A106" s="10"/>
      <c r="B106" s="10"/>
      <c r="C106" s="10"/>
      <c r="D106" s="12"/>
      <c r="E106" s="10"/>
      <c r="F106" s="11"/>
      <c r="G106" s="12"/>
      <c r="H106" s="12"/>
      <c r="I106" s="13" t="str">
        <f aca="true">IF(A106="","",IF(H106&lt;&gt;"","已付",IF(AND(G106&lt;&gt;"",TODAY()&gt;G106),"逾期","未付")))</f>
        <v/>
      </c>
    </row>
    <row r="107" customFormat="false" ht="15" hidden="false" customHeight="false" outlineLevel="0" collapsed="false">
      <c r="A107" s="10"/>
      <c r="B107" s="10"/>
      <c r="C107" s="10"/>
      <c r="D107" s="12"/>
      <c r="E107" s="10"/>
      <c r="F107" s="11"/>
      <c r="G107" s="12"/>
      <c r="H107" s="12"/>
      <c r="I107" s="13" t="str">
        <f aca="true">IF(A107="","",IF(H107&lt;&gt;"","已付",IF(AND(G107&lt;&gt;"",TODAY()&gt;G107),"逾期","未付")))</f>
        <v/>
      </c>
    </row>
    <row r="108" customFormat="false" ht="15" hidden="false" customHeight="false" outlineLevel="0" collapsed="false">
      <c r="A108" s="10"/>
      <c r="B108" s="10"/>
      <c r="C108" s="10"/>
      <c r="D108" s="12"/>
      <c r="E108" s="10"/>
      <c r="F108" s="11"/>
      <c r="G108" s="12"/>
      <c r="H108" s="12"/>
      <c r="I108" s="13" t="str">
        <f aca="true">IF(A108="","",IF(H108&lt;&gt;"","已付",IF(AND(G108&lt;&gt;"",TODAY()&gt;G108),"逾期","未付")))</f>
        <v/>
      </c>
    </row>
    <row r="109" customFormat="false" ht="15" hidden="false" customHeight="false" outlineLevel="0" collapsed="false">
      <c r="A109" s="10"/>
      <c r="B109" s="10"/>
      <c r="C109" s="10"/>
      <c r="D109" s="12"/>
      <c r="E109" s="10"/>
      <c r="F109" s="11"/>
      <c r="G109" s="12"/>
      <c r="H109" s="12"/>
      <c r="I109" s="13" t="str">
        <f aca="true">IF(A109="","",IF(H109&lt;&gt;"","已付",IF(AND(G109&lt;&gt;"",TODAY()&gt;G109),"逾期","未付")))</f>
        <v/>
      </c>
    </row>
    <row r="110" customFormat="false" ht="15" hidden="false" customHeight="false" outlineLevel="0" collapsed="false">
      <c r="A110" s="10"/>
      <c r="B110" s="10"/>
      <c r="C110" s="10"/>
      <c r="D110" s="12"/>
      <c r="E110" s="10"/>
      <c r="F110" s="11"/>
      <c r="G110" s="12"/>
      <c r="H110" s="12"/>
      <c r="I110" s="13" t="str">
        <f aca="true">IF(A110="","",IF(H110&lt;&gt;"","已付",IF(AND(G110&lt;&gt;"",TODAY()&gt;G110),"逾期","未付")))</f>
        <v/>
      </c>
    </row>
    <row r="111" customFormat="false" ht="15" hidden="false" customHeight="false" outlineLevel="0" collapsed="false">
      <c r="A111" s="10"/>
      <c r="B111" s="10"/>
      <c r="C111" s="10"/>
      <c r="D111" s="12"/>
      <c r="E111" s="10"/>
      <c r="F111" s="11"/>
      <c r="G111" s="12"/>
      <c r="H111" s="12"/>
      <c r="I111" s="13" t="str">
        <f aca="true">IF(A111="","",IF(H111&lt;&gt;"","已付",IF(AND(G111&lt;&gt;"",TODAY()&gt;G111),"逾期","未付")))</f>
        <v/>
      </c>
    </row>
    <row r="112" customFormat="false" ht="15" hidden="false" customHeight="false" outlineLevel="0" collapsed="false">
      <c r="A112" s="10"/>
      <c r="B112" s="10"/>
      <c r="C112" s="10"/>
      <c r="D112" s="12"/>
      <c r="E112" s="10"/>
      <c r="F112" s="11"/>
      <c r="G112" s="12"/>
      <c r="H112" s="12"/>
      <c r="I112" s="13" t="str">
        <f aca="true">IF(A112="","",IF(H112&lt;&gt;"","已付",IF(AND(G112&lt;&gt;"",TODAY()&gt;G112),"逾期","未付")))</f>
        <v/>
      </c>
    </row>
    <row r="113" customFormat="false" ht="15" hidden="false" customHeight="false" outlineLevel="0" collapsed="false">
      <c r="A113" s="10"/>
      <c r="B113" s="10"/>
      <c r="C113" s="10"/>
      <c r="D113" s="12"/>
      <c r="E113" s="10"/>
      <c r="F113" s="11"/>
      <c r="G113" s="12"/>
      <c r="H113" s="12"/>
      <c r="I113" s="13" t="str">
        <f aca="true">IF(A113="","",IF(H113&lt;&gt;"","已付",IF(AND(G113&lt;&gt;"",TODAY()&gt;G113),"逾期","未付")))</f>
        <v/>
      </c>
    </row>
    <row r="114" customFormat="false" ht="15" hidden="false" customHeight="false" outlineLevel="0" collapsed="false">
      <c r="A114" s="10"/>
      <c r="B114" s="10"/>
      <c r="C114" s="10"/>
      <c r="D114" s="12"/>
      <c r="E114" s="10"/>
      <c r="F114" s="11"/>
      <c r="G114" s="12"/>
      <c r="H114" s="12"/>
      <c r="I114" s="13" t="str">
        <f aca="true">IF(A114="","",IF(H114&lt;&gt;"","已付",IF(AND(G114&lt;&gt;"",TODAY()&gt;G114),"逾期","未付")))</f>
        <v/>
      </c>
    </row>
    <row r="115" customFormat="false" ht="15" hidden="false" customHeight="false" outlineLevel="0" collapsed="false">
      <c r="A115" s="10"/>
      <c r="B115" s="10"/>
      <c r="C115" s="10"/>
      <c r="D115" s="12"/>
      <c r="E115" s="10"/>
      <c r="F115" s="11"/>
      <c r="G115" s="12"/>
      <c r="H115" s="12"/>
      <c r="I115" s="13" t="str">
        <f aca="true">IF(A115="","",IF(H115&lt;&gt;"","已付",IF(AND(G115&lt;&gt;"",TODAY()&gt;G115),"逾期","未付")))</f>
        <v/>
      </c>
    </row>
    <row r="116" customFormat="false" ht="15" hidden="false" customHeight="false" outlineLevel="0" collapsed="false">
      <c r="A116" s="10"/>
      <c r="B116" s="10"/>
      <c r="C116" s="10"/>
      <c r="D116" s="12"/>
      <c r="E116" s="10"/>
      <c r="F116" s="11"/>
      <c r="G116" s="12"/>
      <c r="H116" s="12"/>
      <c r="I116" s="13" t="str">
        <f aca="true">IF(A116="","",IF(H116&lt;&gt;"","已付",IF(AND(G116&lt;&gt;"",TODAY()&gt;G116),"逾期","未付")))</f>
        <v/>
      </c>
    </row>
    <row r="117" customFormat="false" ht="15" hidden="false" customHeight="false" outlineLevel="0" collapsed="false">
      <c r="A117" s="10"/>
      <c r="B117" s="10"/>
      <c r="C117" s="10"/>
      <c r="D117" s="12"/>
      <c r="E117" s="10"/>
      <c r="F117" s="11"/>
      <c r="G117" s="12"/>
      <c r="H117" s="12"/>
      <c r="I117" s="13" t="str">
        <f aca="true">IF(A117="","",IF(H117&lt;&gt;"","已付",IF(AND(G117&lt;&gt;"",TODAY()&gt;G117),"逾期","未付")))</f>
        <v/>
      </c>
    </row>
    <row r="118" customFormat="false" ht="15" hidden="false" customHeight="false" outlineLevel="0" collapsed="false">
      <c r="A118" s="10"/>
      <c r="B118" s="10"/>
      <c r="C118" s="10"/>
      <c r="D118" s="12"/>
      <c r="E118" s="10"/>
      <c r="F118" s="11"/>
      <c r="G118" s="12"/>
      <c r="H118" s="12"/>
      <c r="I118" s="13" t="str">
        <f aca="true">IF(A118="","",IF(H118&lt;&gt;"","已付",IF(AND(G118&lt;&gt;"",TODAY()&gt;G118),"逾期","未付")))</f>
        <v/>
      </c>
    </row>
    <row r="119" customFormat="false" ht="15" hidden="false" customHeight="false" outlineLevel="0" collapsed="false">
      <c r="A119" s="10"/>
      <c r="B119" s="10"/>
      <c r="C119" s="10"/>
      <c r="D119" s="12"/>
      <c r="E119" s="10"/>
      <c r="F119" s="11"/>
      <c r="G119" s="12"/>
      <c r="H119" s="12"/>
      <c r="I119" s="13" t="str">
        <f aca="true">IF(A119="","",IF(H119&lt;&gt;"","已付",IF(AND(G119&lt;&gt;"",TODAY()&gt;G119),"逾期","未付")))</f>
        <v/>
      </c>
    </row>
    <row r="120" customFormat="false" ht="15" hidden="false" customHeight="false" outlineLevel="0" collapsed="false">
      <c r="A120" s="10"/>
      <c r="B120" s="10"/>
      <c r="C120" s="10"/>
      <c r="D120" s="12"/>
      <c r="E120" s="10"/>
      <c r="F120" s="11"/>
      <c r="G120" s="12"/>
      <c r="H120" s="12"/>
      <c r="I120" s="13" t="str">
        <f aca="true">IF(A120="","",IF(H120&lt;&gt;"","已付",IF(AND(G120&lt;&gt;"",TODAY()&gt;G120),"逾期","未付")))</f>
        <v/>
      </c>
    </row>
    <row r="121" customFormat="false" ht="15" hidden="false" customHeight="false" outlineLevel="0" collapsed="false">
      <c r="A121" s="10"/>
      <c r="B121" s="10"/>
      <c r="C121" s="10"/>
      <c r="D121" s="12"/>
      <c r="E121" s="10"/>
      <c r="F121" s="11"/>
      <c r="G121" s="12"/>
      <c r="H121" s="12"/>
      <c r="I121" s="13" t="str">
        <f aca="true">IF(A121="","",IF(H121&lt;&gt;"","已付",IF(AND(G121&lt;&gt;"",TODAY()&gt;G121),"逾期","未付")))</f>
        <v/>
      </c>
    </row>
    <row r="122" customFormat="false" ht="15" hidden="false" customHeight="false" outlineLevel="0" collapsed="false">
      <c r="A122" s="10"/>
      <c r="B122" s="10"/>
      <c r="C122" s="10"/>
      <c r="D122" s="12"/>
      <c r="E122" s="10"/>
      <c r="F122" s="11"/>
      <c r="G122" s="12"/>
      <c r="H122" s="12"/>
      <c r="I122" s="13" t="str">
        <f aca="true">IF(A122="","",IF(H122&lt;&gt;"","已付",IF(AND(G122&lt;&gt;"",TODAY()&gt;G122),"逾期","未付")))</f>
        <v/>
      </c>
    </row>
    <row r="123" customFormat="false" ht="15" hidden="false" customHeight="false" outlineLevel="0" collapsed="false">
      <c r="A123" s="10"/>
      <c r="B123" s="10"/>
      <c r="C123" s="10"/>
      <c r="D123" s="12"/>
      <c r="E123" s="10"/>
      <c r="F123" s="11"/>
      <c r="G123" s="12"/>
      <c r="H123" s="12"/>
      <c r="I123" s="13" t="str">
        <f aca="true">IF(A123="","",IF(H123&lt;&gt;"","已付",IF(AND(G123&lt;&gt;"",TODAY()&gt;G123),"逾期","未付")))</f>
        <v/>
      </c>
    </row>
    <row r="124" customFormat="false" ht="15" hidden="false" customHeight="false" outlineLevel="0" collapsed="false">
      <c r="A124" s="10"/>
      <c r="B124" s="10"/>
      <c r="C124" s="10"/>
      <c r="D124" s="12"/>
      <c r="E124" s="10"/>
      <c r="F124" s="11"/>
      <c r="G124" s="12"/>
      <c r="H124" s="12"/>
      <c r="I124" s="13" t="str">
        <f aca="true">IF(A124="","",IF(H124&lt;&gt;"","已付",IF(AND(G124&lt;&gt;"",TODAY()&gt;G124),"逾期","未付")))</f>
        <v/>
      </c>
    </row>
    <row r="125" customFormat="false" ht="15" hidden="false" customHeight="false" outlineLevel="0" collapsed="false">
      <c r="A125" s="10"/>
      <c r="B125" s="10"/>
      <c r="C125" s="10"/>
      <c r="D125" s="12"/>
      <c r="E125" s="10"/>
      <c r="F125" s="11"/>
      <c r="G125" s="12"/>
      <c r="H125" s="12"/>
      <c r="I125" s="13" t="str">
        <f aca="true">IF(A125="","",IF(H125&lt;&gt;"","已付",IF(AND(G125&lt;&gt;"",TODAY()&gt;G125),"逾期","未付")))</f>
        <v/>
      </c>
    </row>
    <row r="126" customFormat="false" ht="15" hidden="false" customHeight="false" outlineLevel="0" collapsed="false">
      <c r="A126" s="10"/>
      <c r="B126" s="10"/>
      <c r="C126" s="10"/>
      <c r="D126" s="12"/>
      <c r="E126" s="10"/>
      <c r="F126" s="11"/>
      <c r="G126" s="12"/>
      <c r="H126" s="12"/>
      <c r="I126" s="13" t="str">
        <f aca="true">IF(A126="","",IF(H126&lt;&gt;"","已付",IF(AND(G126&lt;&gt;"",TODAY()&gt;G126),"逾期","未付")))</f>
        <v/>
      </c>
    </row>
    <row r="127" customFormat="false" ht="15" hidden="false" customHeight="false" outlineLevel="0" collapsed="false">
      <c r="A127" s="10"/>
      <c r="B127" s="10"/>
      <c r="C127" s="10"/>
      <c r="D127" s="12"/>
      <c r="E127" s="10"/>
      <c r="F127" s="11"/>
      <c r="G127" s="12"/>
      <c r="H127" s="12"/>
      <c r="I127" s="13" t="str">
        <f aca="true">IF(A127="","",IF(H127&lt;&gt;"","已付",IF(AND(G127&lt;&gt;"",TODAY()&gt;G127),"逾期","未付")))</f>
        <v/>
      </c>
    </row>
    <row r="128" customFormat="false" ht="15" hidden="false" customHeight="false" outlineLevel="0" collapsed="false">
      <c r="A128" s="10"/>
      <c r="B128" s="10"/>
      <c r="C128" s="10"/>
      <c r="D128" s="12"/>
      <c r="E128" s="10"/>
      <c r="F128" s="11"/>
      <c r="G128" s="12"/>
      <c r="H128" s="12"/>
      <c r="I128" s="13" t="str">
        <f aca="true">IF(A128="","",IF(H128&lt;&gt;"","已付",IF(AND(G128&lt;&gt;"",TODAY()&gt;G128),"逾期","未付")))</f>
        <v/>
      </c>
    </row>
    <row r="129" customFormat="false" ht="15" hidden="false" customHeight="false" outlineLevel="0" collapsed="false">
      <c r="A129" s="10"/>
      <c r="B129" s="10"/>
      <c r="C129" s="10"/>
      <c r="D129" s="12"/>
      <c r="E129" s="10"/>
      <c r="F129" s="11"/>
      <c r="G129" s="12"/>
      <c r="H129" s="12"/>
      <c r="I129" s="13" t="str">
        <f aca="true">IF(A129="","",IF(H129&lt;&gt;"","已付",IF(AND(G129&lt;&gt;"",TODAY()&gt;G129),"逾期","未付")))</f>
        <v/>
      </c>
    </row>
    <row r="130" customFormat="false" ht="15" hidden="false" customHeight="false" outlineLevel="0" collapsed="false">
      <c r="A130" s="10"/>
      <c r="B130" s="10"/>
      <c r="C130" s="10"/>
      <c r="D130" s="12"/>
      <c r="E130" s="10"/>
      <c r="F130" s="11"/>
      <c r="G130" s="12"/>
      <c r="H130" s="12"/>
      <c r="I130" s="13" t="str">
        <f aca="true">IF(A130="","",IF(H130&lt;&gt;"","已付",IF(AND(G130&lt;&gt;"",TODAY()&gt;G130),"逾期","未付")))</f>
        <v/>
      </c>
    </row>
    <row r="131" customFormat="false" ht="15" hidden="false" customHeight="false" outlineLevel="0" collapsed="false">
      <c r="A131" s="10"/>
      <c r="B131" s="10"/>
      <c r="C131" s="10"/>
      <c r="D131" s="12"/>
      <c r="E131" s="10"/>
      <c r="F131" s="11"/>
      <c r="G131" s="12"/>
      <c r="H131" s="12"/>
      <c r="I131" s="13" t="str">
        <f aca="true">IF(A131="","",IF(H131&lt;&gt;"","已付",IF(AND(G131&lt;&gt;"",TODAY()&gt;G131),"逾期","未付")))</f>
        <v/>
      </c>
    </row>
    <row r="132" customFormat="false" ht="15" hidden="false" customHeight="false" outlineLevel="0" collapsed="false">
      <c r="A132" s="10"/>
      <c r="B132" s="10"/>
      <c r="C132" s="10"/>
      <c r="D132" s="12"/>
      <c r="E132" s="10"/>
      <c r="F132" s="11"/>
      <c r="G132" s="12"/>
      <c r="H132" s="12"/>
      <c r="I132" s="13" t="str">
        <f aca="true">IF(A132="","",IF(H132&lt;&gt;"","已付",IF(AND(G132&lt;&gt;"",TODAY()&gt;G132),"逾期","未付")))</f>
        <v/>
      </c>
    </row>
    <row r="133" customFormat="false" ht="15" hidden="false" customHeight="false" outlineLevel="0" collapsed="false">
      <c r="A133" s="10"/>
      <c r="B133" s="10"/>
      <c r="C133" s="10"/>
      <c r="D133" s="12"/>
      <c r="E133" s="10"/>
      <c r="F133" s="11"/>
      <c r="G133" s="12"/>
      <c r="H133" s="12"/>
      <c r="I133" s="13" t="str">
        <f aca="true">IF(A133="","",IF(H133&lt;&gt;"","已付",IF(AND(G133&lt;&gt;"",TODAY()&gt;G133),"逾期","未付")))</f>
        <v/>
      </c>
    </row>
    <row r="134" customFormat="false" ht="15" hidden="false" customHeight="false" outlineLevel="0" collapsed="false">
      <c r="A134" s="10"/>
      <c r="B134" s="10"/>
      <c r="C134" s="10"/>
      <c r="D134" s="12"/>
      <c r="E134" s="10"/>
      <c r="F134" s="11"/>
      <c r="G134" s="12"/>
      <c r="H134" s="12"/>
      <c r="I134" s="13" t="str">
        <f aca="true">IF(A134="","",IF(H134&lt;&gt;"","已付",IF(AND(G134&lt;&gt;"",TODAY()&gt;G134),"逾期","未付")))</f>
        <v/>
      </c>
    </row>
    <row r="135" customFormat="false" ht="15" hidden="false" customHeight="false" outlineLevel="0" collapsed="false">
      <c r="A135" s="10"/>
      <c r="B135" s="10"/>
      <c r="C135" s="10"/>
      <c r="D135" s="12"/>
      <c r="E135" s="10"/>
      <c r="F135" s="11"/>
      <c r="G135" s="12"/>
      <c r="H135" s="12"/>
      <c r="I135" s="13" t="str">
        <f aca="true">IF(A135="","",IF(H135&lt;&gt;"","已付",IF(AND(G135&lt;&gt;"",TODAY()&gt;G135),"逾期","未付")))</f>
        <v/>
      </c>
    </row>
    <row r="136" customFormat="false" ht="15" hidden="false" customHeight="false" outlineLevel="0" collapsed="false">
      <c r="A136" s="10"/>
      <c r="B136" s="10"/>
      <c r="C136" s="10"/>
      <c r="D136" s="12"/>
      <c r="E136" s="10"/>
      <c r="F136" s="11"/>
      <c r="G136" s="12"/>
      <c r="H136" s="12"/>
      <c r="I136" s="13" t="str">
        <f aca="true">IF(A136="","",IF(H136&lt;&gt;"","已付",IF(AND(G136&lt;&gt;"",TODAY()&gt;G136),"逾期","未付")))</f>
        <v/>
      </c>
    </row>
    <row r="137" customFormat="false" ht="15" hidden="false" customHeight="false" outlineLevel="0" collapsed="false">
      <c r="A137" s="10"/>
      <c r="B137" s="10"/>
      <c r="C137" s="10"/>
      <c r="D137" s="12"/>
      <c r="E137" s="10"/>
      <c r="F137" s="11"/>
      <c r="G137" s="12"/>
      <c r="H137" s="12"/>
      <c r="I137" s="13" t="str">
        <f aca="true">IF(A137="","",IF(H137&lt;&gt;"","已付",IF(AND(G137&lt;&gt;"",TODAY()&gt;G137),"逾期","未付")))</f>
        <v/>
      </c>
    </row>
    <row r="138" customFormat="false" ht="15" hidden="false" customHeight="false" outlineLevel="0" collapsed="false">
      <c r="A138" s="10"/>
      <c r="B138" s="10"/>
      <c r="C138" s="10"/>
      <c r="D138" s="12"/>
      <c r="E138" s="10"/>
      <c r="F138" s="11"/>
      <c r="G138" s="12"/>
      <c r="H138" s="12"/>
      <c r="I138" s="13" t="str">
        <f aca="true">IF(A138="","",IF(H138&lt;&gt;"","已付",IF(AND(G138&lt;&gt;"",TODAY()&gt;G138),"逾期","未付")))</f>
        <v/>
      </c>
    </row>
    <row r="139" customFormat="false" ht="15" hidden="false" customHeight="false" outlineLevel="0" collapsed="false">
      <c r="A139" s="10"/>
      <c r="B139" s="10"/>
      <c r="C139" s="10"/>
      <c r="D139" s="12"/>
      <c r="E139" s="10"/>
      <c r="F139" s="11"/>
      <c r="G139" s="12"/>
      <c r="H139" s="12"/>
      <c r="I139" s="13" t="str">
        <f aca="true">IF(A139="","",IF(H139&lt;&gt;"","已付",IF(AND(G139&lt;&gt;"",TODAY()&gt;G139),"逾期","未付")))</f>
        <v/>
      </c>
    </row>
    <row r="140" customFormat="false" ht="15" hidden="false" customHeight="false" outlineLevel="0" collapsed="false">
      <c r="A140" s="10"/>
      <c r="B140" s="10"/>
      <c r="C140" s="10"/>
      <c r="D140" s="12"/>
      <c r="E140" s="10"/>
      <c r="F140" s="11"/>
      <c r="G140" s="12"/>
      <c r="H140" s="12"/>
      <c r="I140" s="13" t="str">
        <f aca="true">IF(A140="","",IF(H140&lt;&gt;"","已付",IF(AND(G140&lt;&gt;"",TODAY()&gt;G140),"逾期","未付")))</f>
        <v/>
      </c>
    </row>
    <row r="141" customFormat="false" ht="15" hidden="false" customHeight="false" outlineLevel="0" collapsed="false">
      <c r="A141" s="10"/>
      <c r="B141" s="10"/>
      <c r="C141" s="10"/>
      <c r="D141" s="12"/>
      <c r="E141" s="10"/>
      <c r="F141" s="11"/>
      <c r="G141" s="12"/>
      <c r="H141" s="12"/>
      <c r="I141" s="13" t="str">
        <f aca="true">IF(A141="","",IF(H141&lt;&gt;"","已付",IF(AND(G141&lt;&gt;"",TODAY()&gt;G141),"逾期","未付")))</f>
        <v/>
      </c>
    </row>
    <row r="142" customFormat="false" ht="15" hidden="false" customHeight="false" outlineLevel="0" collapsed="false">
      <c r="A142" s="10"/>
      <c r="B142" s="10"/>
      <c r="C142" s="10"/>
      <c r="D142" s="12"/>
      <c r="E142" s="10"/>
      <c r="F142" s="11"/>
      <c r="G142" s="12"/>
      <c r="H142" s="12"/>
      <c r="I142" s="13" t="str">
        <f aca="true">IF(A142="","",IF(H142&lt;&gt;"","已付",IF(AND(G142&lt;&gt;"",TODAY()&gt;G142),"逾期","未付")))</f>
        <v/>
      </c>
    </row>
    <row r="143" customFormat="false" ht="15" hidden="false" customHeight="false" outlineLevel="0" collapsed="false">
      <c r="A143" s="10"/>
      <c r="B143" s="10"/>
      <c r="C143" s="10"/>
      <c r="D143" s="12"/>
      <c r="E143" s="10"/>
      <c r="F143" s="11"/>
      <c r="G143" s="12"/>
      <c r="H143" s="12"/>
      <c r="I143" s="13" t="str">
        <f aca="true">IF(A143="","",IF(H143&lt;&gt;"","已付",IF(AND(G143&lt;&gt;"",TODAY()&gt;G143),"逾期","未付")))</f>
        <v/>
      </c>
    </row>
    <row r="144" customFormat="false" ht="15" hidden="false" customHeight="false" outlineLevel="0" collapsed="false">
      <c r="A144" s="10"/>
      <c r="B144" s="10"/>
      <c r="C144" s="10"/>
      <c r="D144" s="12"/>
      <c r="E144" s="10"/>
      <c r="F144" s="11"/>
      <c r="G144" s="12"/>
      <c r="H144" s="12"/>
      <c r="I144" s="13" t="str">
        <f aca="true">IF(A144="","",IF(H144&lt;&gt;"","已付",IF(AND(G144&lt;&gt;"",TODAY()&gt;G144),"逾期","未付")))</f>
        <v/>
      </c>
    </row>
    <row r="145" customFormat="false" ht="15" hidden="false" customHeight="false" outlineLevel="0" collapsed="false">
      <c r="A145" s="10"/>
      <c r="B145" s="10"/>
      <c r="C145" s="10"/>
      <c r="D145" s="12"/>
      <c r="E145" s="10"/>
      <c r="F145" s="11"/>
      <c r="G145" s="12"/>
      <c r="H145" s="12"/>
      <c r="I145" s="13" t="str">
        <f aca="true">IF(A145="","",IF(H145&lt;&gt;"","已付",IF(AND(G145&lt;&gt;"",TODAY()&gt;G145),"逾期","未付")))</f>
        <v/>
      </c>
    </row>
    <row r="146" customFormat="false" ht="15" hidden="false" customHeight="false" outlineLevel="0" collapsed="false">
      <c r="A146" s="10"/>
      <c r="B146" s="10"/>
      <c r="C146" s="10"/>
      <c r="D146" s="12"/>
      <c r="E146" s="10"/>
      <c r="F146" s="11"/>
      <c r="G146" s="12"/>
      <c r="H146" s="12"/>
      <c r="I146" s="13" t="str">
        <f aca="true">IF(A146="","",IF(H146&lt;&gt;"","已付",IF(AND(G146&lt;&gt;"",TODAY()&gt;G146),"逾期","未付")))</f>
        <v/>
      </c>
    </row>
    <row r="147" customFormat="false" ht="15" hidden="false" customHeight="false" outlineLevel="0" collapsed="false">
      <c r="A147" s="10"/>
      <c r="B147" s="10"/>
      <c r="C147" s="10"/>
      <c r="D147" s="12"/>
      <c r="E147" s="10"/>
      <c r="F147" s="11"/>
      <c r="G147" s="12"/>
      <c r="H147" s="12"/>
      <c r="I147" s="13" t="str">
        <f aca="true">IF(A147="","",IF(H147&lt;&gt;"","已付",IF(AND(G147&lt;&gt;"",TODAY()&gt;G147),"逾期","未付")))</f>
        <v/>
      </c>
    </row>
    <row r="148" customFormat="false" ht="15" hidden="false" customHeight="false" outlineLevel="0" collapsed="false">
      <c r="A148" s="10"/>
      <c r="B148" s="10"/>
      <c r="C148" s="10"/>
      <c r="D148" s="12"/>
      <c r="E148" s="10"/>
      <c r="F148" s="11"/>
      <c r="G148" s="12"/>
      <c r="H148" s="12"/>
      <c r="I148" s="13" t="str">
        <f aca="true">IF(A148="","",IF(H148&lt;&gt;"","已付",IF(AND(G148&lt;&gt;"",TODAY()&gt;G148),"逾期","未付")))</f>
        <v/>
      </c>
    </row>
    <row r="149" customFormat="false" ht="15" hidden="false" customHeight="false" outlineLevel="0" collapsed="false">
      <c r="A149" s="10"/>
      <c r="B149" s="10"/>
      <c r="C149" s="10"/>
      <c r="D149" s="12"/>
      <c r="E149" s="10"/>
      <c r="F149" s="11"/>
      <c r="G149" s="12"/>
      <c r="H149" s="12"/>
      <c r="I149" s="13" t="str">
        <f aca="true">IF(A149="","",IF(H149&lt;&gt;"","已付",IF(AND(G149&lt;&gt;"",TODAY()&gt;G149),"逾期","未付")))</f>
        <v/>
      </c>
    </row>
    <row r="150" customFormat="false" ht="15" hidden="false" customHeight="false" outlineLevel="0" collapsed="false">
      <c r="A150" s="10"/>
      <c r="B150" s="10"/>
      <c r="C150" s="10"/>
      <c r="D150" s="12"/>
      <c r="E150" s="10"/>
      <c r="F150" s="11"/>
      <c r="G150" s="12"/>
      <c r="H150" s="12"/>
      <c r="I150" s="13" t="str">
        <f aca="true">IF(A150="","",IF(H150&lt;&gt;"","已付",IF(AND(G150&lt;&gt;"",TODAY()&gt;G150),"逾期","未付")))</f>
        <v/>
      </c>
    </row>
    <row r="151" customFormat="false" ht="15" hidden="false" customHeight="false" outlineLevel="0" collapsed="false">
      <c r="A151" s="10"/>
      <c r="B151" s="10"/>
      <c r="C151" s="10"/>
      <c r="D151" s="12"/>
      <c r="E151" s="10"/>
      <c r="F151" s="11"/>
      <c r="G151" s="12"/>
      <c r="H151" s="12"/>
      <c r="I151" s="13" t="str">
        <f aca="true">IF(A151="","",IF(H151&lt;&gt;"","已付",IF(AND(G151&lt;&gt;"",TODAY()&gt;G151),"逾期","未付")))</f>
        <v/>
      </c>
    </row>
    <row r="152" customFormat="false" ht="15" hidden="false" customHeight="false" outlineLevel="0" collapsed="false">
      <c r="A152" s="10"/>
      <c r="B152" s="10"/>
      <c r="C152" s="10"/>
      <c r="D152" s="12"/>
      <c r="E152" s="10"/>
      <c r="F152" s="11"/>
      <c r="G152" s="12"/>
      <c r="H152" s="12"/>
      <c r="I152" s="13" t="str">
        <f aca="true">IF(A152="","",IF(H152&lt;&gt;"","已付",IF(AND(G152&lt;&gt;"",TODAY()&gt;G152),"逾期","未付")))</f>
        <v/>
      </c>
    </row>
    <row r="153" customFormat="false" ht="15" hidden="false" customHeight="false" outlineLevel="0" collapsed="false">
      <c r="A153" s="10"/>
      <c r="B153" s="10"/>
      <c r="C153" s="10"/>
      <c r="D153" s="12"/>
      <c r="E153" s="10"/>
      <c r="F153" s="11"/>
      <c r="G153" s="12"/>
      <c r="H153" s="12"/>
      <c r="I153" s="13" t="str">
        <f aca="true">IF(A153="","",IF(H153&lt;&gt;"","已付",IF(AND(G153&lt;&gt;"",TODAY()&gt;G153),"逾期","未付")))</f>
        <v/>
      </c>
    </row>
    <row r="154" customFormat="false" ht="15" hidden="false" customHeight="false" outlineLevel="0" collapsed="false">
      <c r="A154" s="10"/>
      <c r="B154" s="10"/>
      <c r="C154" s="10"/>
      <c r="D154" s="12"/>
      <c r="E154" s="10"/>
      <c r="F154" s="11"/>
      <c r="G154" s="12"/>
      <c r="H154" s="12"/>
      <c r="I154" s="13" t="str">
        <f aca="true">IF(A154="","",IF(H154&lt;&gt;"","已付",IF(AND(G154&lt;&gt;"",TODAY()&gt;G154),"逾期","未付")))</f>
        <v/>
      </c>
    </row>
    <row r="155" customFormat="false" ht="15" hidden="false" customHeight="false" outlineLevel="0" collapsed="false">
      <c r="A155" s="10"/>
      <c r="B155" s="10"/>
      <c r="C155" s="10"/>
      <c r="D155" s="12"/>
      <c r="E155" s="10"/>
      <c r="F155" s="11"/>
      <c r="G155" s="12"/>
      <c r="H155" s="12"/>
      <c r="I155" s="13" t="str">
        <f aca="true">IF(A155="","",IF(H155&lt;&gt;"","已付",IF(AND(G155&lt;&gt;"",TODAY()&gt;G155),"逾期","未付")))</f>
        <v/>
      </c>
    </row>
    <row r="156" customFormat="false" ht="15" hidden="false" customHeight="false" outlineLevel="0" collapsed="false">
      <c r="A156" s="10"/>
      <c r="B156" s="10"/>
      <c r="C156" s="10"/>
      <c r="D156" s="12"/>
      <c r="E156" s="10"/>
      <c r="F156" s="11"/>
      <c r="G156" s="12"/>
      <c r="H156" s="12"/>
      <c r="I156" s="13" t="str">
        <f aca="true">IF(A156="","",IF(H156&lt;&gt;"","已付",IF(AND(G156&lt;&gt;"",TODAY()&gt;G156),"逾期","未付")))</f>
        <v/>
      </c>
    </row>
    <row r="157" customFormat="false" ht="15" hidden="false" customHeight="false" outlineLevel="0" collapsed="false">
      <c r="A157" s="10"/>
      <c r="B157" s="10"/>
      <c r="C157" s="10"/>
      <c r="D157" s="12"/>
      <c r="E157" s="10"/>
      <c r="F157" s="11"/>
      <c r="G157" s="12"/>
      <c r="H157" s="12"/>
      <c r="I157" s="13" t="str">
        <f aca="true">IF(A157="","",IF(H157&lt;&gt;"","已付",IF(AND(G157&lt;&gt;"",TODAY()&gt;G157),"逾期","未付")))</f>
        <v/>
      </c>
    </row>
    <row r="158" customFormat="false" ht="15" hidden="false" customHeight="false" outlineLevel="0" collapsed="false">
      <c r="A158" s="10"/>
      <c r="B158" s="10"/>
      <c r="C158" s="10"/>
      <c r="D158" s="12"/>
      <c r="E158" s="10"/>
      <c r="F158" s="11"/>
      <c r="G158" s="12"/>
      <c r="H158" s="12"/>
      <c r="I158" s="13" t="str">
        <f aca="true">IF(A158="","",IF(H158&lt;&gt;"","已付",IF(AND(G158&lt;&gt;"",TODAY()&gt;G158),"逾期","未付")))</f>
        <v/>
      </c>
    </row>
    <row r="159" customFormat="false" ht="15" hidden="false" customHeight="false" outlineLevel="0" collapsed="false">
      <c r="A159" s="10"/>
      <c r="B159" s="10"/>
      <c r="C159" s="10"/>
      <c r="D159" s="12"/>
      <c r="E159" s="10"/>
      <c r="F159" s="11"/>
      <c r="G159" s="12"/>
      <c r="H159" s="12"/>
      <c r="I159" s="13" t="str">
        <f aca="true">IF(A159="","",IF(H159&lt;&gt;"","已付",IF(AND(G159&lt;&gt;"",TODAY()&gt;G159),"逾期","未付")))</f>
        <v/>
      </c>
    </row>
    <row r="160" customFormat="false" ht="15" hidden="false" customHeight="false" outlineLevel="0" collapsed="false">
      <c r="A160" s="10"/>
      <c r="B160" s="10"/>
      <c r="C160" s="10"/>
      <c r="D160" s="12"/>
      <c r="E160" s="10"/>
      <c r="F160" s="11"/>
      <c r="G160" s="12"/>
      <c r="H160" s="12"/>
      <c r="I160" s="13" t="str">
        <f aca="true">IF(A160="","",IF(H160&lt;&gt;"","已付",IF(AND(G160&lt;&gt;"",TODAY()&gt;G160),"逾期","未付")))</f>
        <v/>
      </c>
    </row>
    <row r="161" customFormat="false" ht="15" hidden="false" customHeight="false" outlineLevel="0" collapsed="false">
      <c r="A161" s="10"/>
      <c r="B161" s="10"/>
      <c r="C161" s="10"/>
      <c r="D161" s="12"/>
      <c r="E161" s="10"/>
      <c r="F161" s="11"/>
      <c r="G161" s="12"/>
      <c r="H161" s="12"/>
      <c r="I161" s="13" t="str">
        <f aca="true">IF(A161="","",IF(H161&lt;&gt;"","已付",IF(AND(G161&lt;&gt;"",TODAY()&gt;G161),"逾期","未付")))</f>
        <v/>
      </c>
    </row>
    <row r="162" customFormat="false" ht="15" hidden="false" customHeight="false" outlineLevel="0" collapsed="false">
      <c r="A162" s="10"/>
      <c r="B162" s="10"/>
      <c r="C162" s="10"/>
      <c r="D162" s="12"/>
      <c r="E162" s="10"/>
      <c r="F162" s="11"/>
      <c r="G162" s="12"/>
      <c r="H162" s="12"/>
      <c r="I162" s="13" t="str">
        <f aca="true">IF(A162="","",IF(H162&lt;&gt;"","已付",IF(AND(G162&lt;&gt;"",TODAY()&gt;G162),"逾期","未付")))</f>
        <v/>
      </c>
    </row>
    <row r="163" customFormat="false" ht="15" hidden="false" customHeight="false" outlineLevel="0" collapsed="false">
      <c r="A163" s="10"/>
      <c r="B163" s="10"/>
      <c r="C163" s="10"/>
      <c r="D163" s="12"/>
      <c r="E163" s="10"/>
      <c r="F163" s="11"/>
      <c r="G163" s="12"/>
      <c r="H163" s="12"/>
      <c r="I163" s="13" t="str">
        <f aca="true">IF(A163="","",IF(H163&lt;&gt;"","已付",IF(AND(G163&lt;&gt;"",TODAY()&gt;G163),"逾期","未付")))</f>
        <v/>
      </c>
    </row>
    <row r="164" customFormat="false" ht="15" hidden="false" customHeight="false" outlineLevel="0" collapsed="false">
      <c r="A164" s="10"/>
      <c r="B164" s="10"/>
      <c r="C164" s="10"/>
      <c r="D164" s="12"/>
      <c r="E164" s="10"/>
      <c r="F164" s="11"/>
      <c r="G164" s="12"/>
      <c r="H164" s="12"/>
      <c r="I164" s="13" t="str">
        <f aca="true">IF(A164="","",IF(H164&lt;&gt;"","已付",IF(AND(G164&lt;&gt;"",TODAY()&gt;G164),"逾期","未付")))</f>
        <v/>
      </c>
    </row>
    <row r="165" customFormat="false" ht="15" hidden="false" customHeight="false" outlineLevel="0" collapsed="false">
      <c r="A165" s="10"/>
      <c r="B165" s="10"/>
      <c r="C165" s="10"/>
      <c r="D165" s="12"/>
      <c r="E165" s="10"/>
      <c r="F165" s="11"/>
      <c r="G165" s="12"/>
      <c r="H165" s="12"/>
      <c r="I165" s="13" t="str">
        <f aca="true">IF(A165="","",IF(H165&lt;&gt;"","已付",IF(AND(G165&lt;&gt;"",TODAY()&gt;G165),"逾期","未付")))</f>
        <v/>
      </c>
    </row>
    <row r="166" customFormat="false" ht="15" hidden="false" customHeight="false" outlineLevel="0" collapsed="false">
      <c r="A166" s="10"/>
      <c r="B166" s="10"/>
      <c r="C166" s="10"/>
      <c r="D166" s="12"/>
      <c r="E166" s="10"/>
      <c r="F166" s="11"/>
      <c r="G166" s="12"/>
      <c r="H166" s="12"/>
      <c r="I166" s="13" t="str">
        <f aca="true">IF(A166="","",IF(H166&lt;&gt;"","已付",IF(AND(G166&lt;&gt;"",TODAY()&gt;G166),"逾期","未付")))</f>
        <v/>
      </c>
    </row>
    <row r="167" customFormat="false" ht="15" hidden="false" customHeight="false" outlineLevel="0" collapsed="false">
      <c r="A167" s="10"/>
      <c r="B167" s="10"/>
      <c r="C167" s="10"/>
      <c r="D167" s="12"/>
      <c r="E167" s="10"/>
      <c r="F167" s="11"/>
      <c r="G167" s="12"/>
      <c r="H167" s="12"/>
      <c r="I167" s="13" t="str">
        <f aca="true">IF(A167="","",IF(H167&lt;&gt;"","已付",IF(AND(G167&lt;&gt;"",TODAY()&gt;G167),"逾期","未付")))</f>
        <v/>
      </c>
    </row>
    <row r="168" customFormat="false" ht="15" hidden="false" customHeight="false" outlineLevel="0" collapsed="false">
      <c r="A168" s="10"/>
      <c r="B168" s="10"/>
      <c r="C168" s="10"/>
      <c r="D168" s="12"/>
      <c r="E168" s="10"/>
      <c r="F168" s="11"/>
      <c r="G168" s="12"/>
      <c r="H168" s="12"/>
      <c r="I168" s="13" t="str">
        <f aca="true">IF(A168="","",IF(H168&lt;&gt;"","已付",IF(AND(G168&lt;&gt;"",TODAY()&gt;G168),"逾期","未付")))</f>
        <v/>
      </c>
    </row>
    <row r="169" customFormat="false" ht="15" hidden="false" customHeight="false" outlineLevel="0" collapsed="false">
      <c r="A169" s="10"/>
      <c r="B169" s="10"/>
      <c r="C169" s="10"/>
      <c r="D169" s="12"/>
      <c r="E169" s="10"/>
      <c r="F169" s="11"/>
      <c r="G169" s="12"/>
      <c r="H169" s="12"/>
      <c r="I169" s="13" t="str">
        <f aca="true">IF(A169="","",IF(H169&lt;&gt;"","已付",IF(AND(G169&lt;&gt;"",TODAY()&gt;G169),"逾期","未付")))</f>
        <v/>
      </c>
    </row>
    <row r="170" customFormat="false" ht="15" hidden="false" customHeight="false" outlineLevel="0" collapsed="false">
      <c r="A170" s="10"/>
      <c r="B170" s="10"/>
      <c r="C170" s="10"/>
      <c r="D170" s="12"/>
      <c r="E170" s="10"/>
      <c r="F170" s="11"/>
      <c r="G170" s="12"/>
      <c r="H170" s="12"/>
      <c r="I170" s="13" t="str">
        <f aca="true">IF(A170="","",IF(H170&lt;&gt;"","已付",IF(AND(G170&lt;&gt;"",TODAY()&gt;G170),"逾期","未付")))</f>
        <v/>
      </c>
    </row>
    <row r="171" customFormat="false" ht="15" hidden="false" customHeight="false" outlineLevel="0" collapsed="false">
      <c r="A171" s="10"/>
      <c r="B171" s="10"/>
      <c r="C171" s="10"/>
      <c r="D171" s="12"/>
      <c r="E171" s="10"/>
      <c r="F171" s="11"/>
      <c r="G171" s="12"/>
      <c r="H171" s="12"/>
      <c r="I171" s="13" t="str">
        <f aca="true">IF(A171="","",IF(H171&lt;&gt;"","已付",IF(AND(G171&lt;&gt;"",TODAY()&gt;G171),"逾期","未付")))</f>
        <v/>
      </c>
    </row>
    <row r="172" customFormat="false" ht="15" hidden="false" customHeight="false" outlineLevel="0" collapsed="false">
      <c r="A172" s="10"/>
      <c r="B172" s="10"/>
      <c r="C172" s="10"/>
      <c r="D172" s="12"/>
      <c r="E172" s="10"/>
      <c r="F172" s="11"/>
      <c r="G172" s="12"/>
      <c r="H172" s="12"/>
      <c r="I172" s="13" t="str">
        <f aca="true">IF(A172="","",IF(H172&lt;&gt;"","已付",IF(AND(G172&lt;&gt;"",TODAY()&gt;G172),"逾期","未付")))</f>
        <v/>
      </c>
    </row>
    <row r="173" customFormat="false" ht="15" hidden="false" customHeight="false" outlineLevel="0" collapsed="false">
      <c r="A173" s="10"/>
      <c r="B173" s="10"/>
      <c r="C173" s="10"/>
      <c r="D173" s="12"/>
      <c r="E173" s="10"/>
      <c r="F173" s="11"/>
      <c r="G173" s="12"/>
      <c r="H173" s="12"/>
      <c r="I173" s="13" t="str">
        <f aca="true">IF(A173="","",IF(H173&lt;&gt;"","已付",IF(AND(G173&lt;&gt;"",TODAY()&gt;G173),"逾期","未付")))</f>
        <v/>
      </c>
    </row>
    <row r="174" customFormat="false" ht="15" hidden="false" customHeight="false" outlineLevel="0" collapsed="false">
      <c r="A174" s="10"/>
      <c r="B174" s="10"/>
      <c r="C174" s="10"/>
      <c r="D174" s="12"/>
      <c r="E174" s="10"/>
      <c r="F174" s="11"/>
      <c r="G174" s="12"/>
      <c r="H174" s="12"/>
      <c r="I174" s="13" t="str">
        <f aca="true">IF(A174="","",IF(H174&lt;&gt;"","已付",IF(AND(G174&lt;&gt;"",TODAY()&gt;G174),"逾期","未付")))</f>
        <v/>
      </c>
    </row>
    <row r="175" customFormat="false" ht="15" hidden="false" customHeight="false" outlineLevel="0" collapsed="false">
      <c r="A175" s="10"/>
      <c r="B175" s="10"/>
      <c r="C175" s="10"/>
      <c r="D175" s="12"/>
      <c r="E175" s="10"/>
      <c r="F175" s="11"/>
      <c r="G175" s="12"/>
      <c r="H175" s="12"/>
      <c r="I175" s="13" t="str">
        <f aca="true">IF(A175="","",IF(H175&lt;&gt;"","已付",IF(AND(G175&lt;&gt;"",TODAY()&gt;G175),"逾期","未付")))</f>
        <v/>
      </c>
    </row>
    <row r="176" customFormat="false" ht="15" hidden="false" customHeight="false" outlineLevel="0" collapsed="false">
      <c r="A176" s="10"/>
      <c r="B176" s="10"/>
      <c r="C176" s="10"/>
      <c r="D176" s="12"/>
      <c r="E176" s="10"/>
      <c r="F176" s="11"/>
      <c r="G176" s="12"/>
      <c r="H176" s="12"/>
      <c r="I176" s="13" t="str">
        <f aca="true">IF(A176="","",IF(H176&lt;&gt;"","已付",IF(AND(G176&lt;&gt;"",TODAY()&gt;G176),"逾期","未付")))</f>
        <v/>
      </c>
    </row>
    <row r="177" customFormat="false" ht="15" hidden="false" customHeight="false" outlineLevel="0" collapsed="false">
      <c r="A177" s="10"/>
      <c r="B177" s="10"/>
      <c r="C177" s="10"/>
      <c r="D177" s="12"/>
      <c r="E177" s="10"/>
      <c r="F177" s="11"/>
      <c r="G177" s="12"/>
      <c r="H177" s="12"/>
      <c r="I177" s="13" t="str">
        <f aca="true">IF(A177="","",IF(H177&lt;&gt;"","已付",IF(AND(G177&lt;&gt;"",TODAY()&gt;G177),"逾期","未付")))</f>
        <v/>
      </c>
    </row>
    <row r="178" customFormat="false" ht="15" hidden="false" customHeight="false" outlineLevel="0" collapsed="false">
      <c r="A178" s="10"/>
      <c r="B178" s="10"/>
      <c r="C178" s="10"/>
      <c r="D178" s="12"/>
      <c r="E178" s="10"/>
      <c r="F178" s="11"/>
      <c r="G178" s="12"/>
      <c r="H178" s="12"/>
      <c r="I178" s="13" t="str">
        <f aca="true">IF(A178="","",IF(H178&lt;&gt;"","已付",IF(AND(G178&lt;&gt;"",TODAY()&gt;G178),"逾期","未付")))</f>
        <v/>
      </c>
    </row>
    <row r="179" customFormat="false" ht="15" hidden="false" customHeight="false" outlineLevel="0" collapsed="false">
      <c r="A179" s="10"/>
      <c r="B179" s="10"/>
      <c r="C179" s="10"/>
      <c r="D179" s="12"/>
      <c r="E179" s="10"/>
      <c r="F179" s="11"/>
      <c r="G179" s="12"/>
      <c r="H179" s="12"/>
      <c r="I179" s="13" t="str">
        <f aca="true">IF(A179="","",IF(H179&lt;&gt;"","已付",IF(AND(G179&lt;&gt;"",TODAY()&gt;G179),"逾期","未付")))</f>
        <v/>
      </c>
    </row>
    <row r="180" customFormat="false" ht="15" hidden="false" customHeight="false" outlineLevel="0" collapsed="false">
      <c r="A180" s="10"/>
      <c r="B180" s="10"/>
      <c r="C180" s="10"/>
      <c r="D180" s="12"/>
      <c r="E180" s="10"/>
      <c r="F180" s="11"/>
      <c r="G180" s="12"/>
      <c r="H180" s="12"/>
      <c r="I180" s="13" t="str">
        <f aca="true">IF(A180="","",IF(H180&lt;&gt;"","已付",IF(AND(G180&lt;&gt;"",TODAY()&gt;G180),"逾期","未付")))</f>
        <v/>
      </c>
    </row>
    <row r="181" customFormat="false" ht="15" hidden="false" customHeight="false" outlineLevel="0" collapsed="false">
      <c r="A181" s="10"/>
      <c r="B181" s="10"/>
      <c r="C181" s="10"/>
      <c r="D181" s="12"/>
      <c r="E181" s="10"/>
      <c r="F181" s="11"/>
      <c r="G181" s="12"/>
      <c r="H181" s="12"/>
      <c r="I181" s="13" t="str">
        <f aca="true">IF(A181="","",IF(H181&lt;&gt;"","已付",IF(AND(G181&lt;&gt;"",TODAY()&gt;G181),"逾期","未付")))</f>
        <v/>
      </c>
    </row>
    <row r="182" customFormat="false" ht="15" hidden="false" customHeight="false" outlineLevel="0" collapsed="false">
      <c r="A182" s="10"/>
      <c r="B182" s="10"/>
      <c r="C182" s="10"/>
      <c r="D182" s="12"/>
      <c r="E182" s="10"/>
      <c r="F182" s="11"/>
      <c r="G182" s="12"/>
      <c r="H182" s="12"/>
      <c r="I182" s="13" t="str">
        <f aca="true">IF(A182="","",IF(H182&lt;&gt;"","已付",IF(AND(G182&lt;&gt;"",TODAY()&gt;G182),"逾期","未付")))</f>
        <v/>
      </c>
    </row>
    <row r="183" customFormat="false" ht="15" hidden="false" customHeight="false" outlineLevel="0" collapsed="false">
      <c r="A183" s="10"/>
      <c r="B183" s="10"/>
      <c r="C183" s="10"/>
      <c r="D183" s="12"/>
      <c r="E183" s="10"/>
      <c r="F183" s="11"/>
      <c r="G183" s="12"/>
      <c r="H183" s="12"/>
      <c r="I183" s="13" t="str">
        <f aca="true">IF(A183="","",IF(H183&lt;&gt;"","已付",IF(AND(G183&lt;&gt;"",TODAY()&gt;G183),"逾期","未付")))</f>
        <v/>
      </c>
    </row>
    <row r="184" customFormat="false" ht="15" hidden="false" customHeight="false" outlineLevel="0" collapsed="false">
      <c r="A184" s="10"/>
      <c r="B184" s="10"/>
      <c r="C184" s="10"/>
      <c r="D184" s="12"/>
      <c r="E184" s="10"/>
      <c r="F184" s="11"/>
      <c r="G184" s="12"/>
      <c r="H184" s="12"/>
      <c r="I184" s="13" t="str">
        <f aca="true">IF(A184="","",IF(H184&lt;&gt;"","已付",IF(AND(G184&lt;&gt;"",TODAY()&gt;G184),"逾期","未付")))</f>
        <v/>
      </c>
    </row>
    <row r="185" customFormat="false" ht="15" hidden="false" customHeight="false" outlineLevel="0" collapsed="false">
      <c r="A185" s="10"/>
      <c r="B185" s="10"/>
      <c r="C185" s="10"/>
      <c r="D185" s="12"/>
      <c r="E185" s="10"/>
      <c r="F185" s="11"/>
      <c r="G185" s="12"/>
      <c r="H185" s="12"/>
      <c r="I185" s="13" t="str">
        <f aca="true">IF(A185="","",IF(H185&lt;&gt;"","已付",IF(AND(G185&lt;&gt;"",TODAY()&gt;G185),"逾期","未付")))</f>
        <v/>
      </c>
    </row>
    <row r="186" customFormat="false" ht="15" hidden="false" customHeight="false" outlineLevel="0" collapsed="false">
      <c r="A186" s="10"/>
      <c r="B186" s="10"/>
      <c r="C186" s="10"/>
      <c r="D186" s="12"/>
      <c r="E186" s="10"/>
      <c r="F186" s="11"/>
      <c r="G186" s="12"/>
      <c r="H186" s="12"/>
      <c r="I186" s="13" t="str">
        <f aca="true">IF(A186="","",IF(H186&lt;&gt;"","已付",IF(AND(G186&lt;&gt;"",TODAY()&gt;G186),"逾期","未付")))</f>
        <v/>
      </c>
    </row>
    <row r="187" customFormat="false" ht="15" hidden="false" customHeight="false" outlineLevel="0" collapsed="false">
      <c r="A187" s="10"/>
      <c r="B187" s="10"/>
      <c r="C187" s="10"/>
      <c r="D187" s="12"/>
      <c r="E187" s="10"/>
      <c r="F187" s="11"/>
      <c r="G187" s="12"/>
      <c r="H187" s="12"/>
      <c r="I187" s="13" t="str">
        <f aca="true">IF(A187="","",IF(H187&lt;&gt;"","已付",IF(AND(G187&lt;&gt;"",TODAY()&gt;G187),"逾期","未付")))</f>
        <v/>
      </c>
    </row>
    <row r="188" customFormat="false" ht="15" hidden="false" customHeight="false" outlineLevel="0" collapsed="false">
      <c r="A188" s="10"/>
      <c r="B188" s="10"/>
      <c r="C188" s="10"/>
      <c r="D188" s="12"/>
      <c r="E188" s="10"/>
      <c r="F188" s="11"/>
      <c r="G188" s="12"/>
      <c r="H188" s="12"/>
      <c r="I188" s="13" t="str">
        <f aca="true">IF(A188="","",IF(H188&lt;&gt;"","已付",IF(AND(G188&lt;&gt;"",TODAY()&gt;G188),"逾期","未付")))</f>
        <v/>
      </c>
    </row>
    <row r="189" customFormat="false" ht="15" hidden="false" customHeight="false" outlineLevel="0" collapsed="false">
      <c r="A189" s="10"/>
      <c r="B189" s="10"/>
      <c r="C189" s="10"/>
      <c r="D189" s="12"/>
      <c r="E189" s="10"/>
      <c r="F189" s="11"/>
      <c r="G189" s="12"/>
      <c r="H189" s="12"/>
      <c r="I189" s="13" t="str">
        <f aca="true">IF(A189="","",IF(H189&lt;&gt;"","已付",IF(AND(G189&lt;&gt;"",TODAY()&gt;G189),"逾期","未付")))</f>
        <v/>
      </c>
    </row>
    <row r="190" customFormat="false" ht="15" hidden="false" customHeight="false" outlineLevel="0" collapsed="false">
      <c r="A190" s="10"/>
      <c r="B190" s="10"/>
      <c r="C190" s="10"/>
      <c r="D190" s="12"/>
      <c r="E190" s="10"/>
      <c r="F190" s="11"/>
      <c r="G190" s="12"/>
      <c r="H190" s="12"/>
      <c r="I190" s="13" t="str">
        <f aca="true">IF(A190="","",IF(H190&lt;&gt;"","已付",IF(AND(G190&lt;&gt;"",TODAY()&gt;G190),"逾期","未付")))</f>
        <v/>
      </c>
    </row>
    <row r="191" customFormat="false" ht="15" hidden="false" customHeight="false" outlineLevel="0" collapsed="false">
      <c r="A191" s="10"/>
      <c r="B191" s="10"/>
      <c r="C191" s="10"/>
      <c r="D191" s="12"/>
      <c r="E191" s="10"/>
      <c r="F191" s="11"/>
      <c r="G191" s="12"/>
      <c r="H191" s="12"/>
      <c r="I191" s="13" t="str">
        <f aca="true">IF(A191="","",IF(H191&lt;&gt;"","已付",IF(AND(G191&lt;&gt;"",TODAY()&gt;G191),"逾期","未付")))</f>
        <v/>
      </c>
    </row>
    <row r="192" customFormat="false" ht="15" hidden="false" customHeight="false" outlineLevel="0" collapsed="false">
      <c r="A192" s="10"/>
      <c r="B192" s="10"/>
      <c r="C192" s="10"/>
      <c r="D192" s="12"/>
      <c r="E192" s="10"/>
      <c r="F192" s="11"/>
      <c r="G192" s="12"/>
      <c r="H192" s="12"/>
      <c r="I192" s="13" t="str">
        <f aca="true">IF(A192="","",IF(H192&lt;&gt;"","已付",IF(AND(G192&lt;&gt;"",TODAY()&gt;G192),"逾期","未付")))</f>
        <v/>
      </c>
    </row>
    <row r="193" customFormat="false" ht="15" hidden="false" customHeight="false" outlineLevel="0" collapsed="false">
      <c r="A193" s="10"/>
      <c r="B193" s="10"/>
      <c r="C193" s="10"/>
      <c r="D193" s="12"/>
      <c r="E193" s="10"/>
      <c r="F193" s="11"/>
      <c r="G193" s="12"/>
      <c r="H193" s="12"/>
      <c r="I193" s="13" t="str">
        <f aca="true">IF(A193="","",IF(H193&lt;&gt;"","已付",IF(AND(G193&lt;&gt;"",TODAY()&gt;G193),"逾期","未付")))</f>
        <v/>
      </c>
    </row>
    <row r="194" customFormat="false" ht="15" hidden="false" customHeight="false" outlineLevel="0" collapsed="false">
      <c r="A194" s="10"/>
      <c r="B194" s="10"/>
      <c r="C194" s="10"/>
      <c r="D194" s="12"/>
      <c r="E194" s="10"/>
      <c r="F194" s="11"/>
      <c r="G194" s="12"/>
      <c r="H194" s="12"/>
      <c r="I194" s="13" t="str">
        <f aca="true">IF(A194="","",IF(H194&lt;&gt;"","已付",IF(AND(G194&lt;&gt;"",TODAY()&gt;G194),"逾期","未付")))</f>
        <v/>
      </c>
    </row>
    <row r="195" customFormat="false" ht="15" hidden="false" customHeight="false" outlineLevel="0" collapsed="false">
      <c r="A195" s="10"/>
      <c r="B195" s="10"/>
      <c r="C195" s="10"/>
      <c r="D195" s="12"/>
      <c r="E195" s="10"/>
      <c r="F195" s="11"/>
      <c r="G195" s="12"/>
      <c r="H195" s="12"/>
      <c r="I195" s="13" t="str">
        <f aca="true">IF(A195="","",IF(H195&lt;&gt;"","已付",IF(AND(G195&lt;&gt;"",TODAY()&gt;G195),"逾期","未付")))</f>
        <v/>
      </c>
    </row>
    <row r="196" customFormat="false" ht="15" hidden="false" customHeight="false" outlineLevel="0" collapsed="false">
      <c r="A196" s="10"/>
      <c r="B196" s="10"/>
      <c r="C196" s="10"/>
      <c r="D196" s="12"/>
      <c r="E196" s="10"/>
      <c r="F196" s="11"/>
      <c r="G196" s="12"/>
      <c r="H196" s="12"/>
      <c r="I196" s="13" t="str">
        <f aca="true">IF(A196="","",IF(H196&lt;&gt;"","已付",IF(AND(G196&lt;&gt;"",TODAY()&gt;G196),"逾期","未付")))</f>
        <v/>
      </c>
    </row>
    <row r="197" customFormat="false" ht="15" hidden="false" customHeight="false" outlineLevel="0" collapsed="false">
      <c r="A197" s="10"/>
      <c r="B197" s="10"/>
      <c r="C197" s="10"/>
      <c r="D197" s="12"/>
      <c r="E197" s="10"/>
      <c r="F197" s="11"/>
      <c r="G197" s="12"/>
      <c r="H197" s="12"/>
      <c r="I197" s="13" t="str">
        <f aca="true">IF(A197="","",IF(H197&lt;&gt;"","已付",IF(AND(G197&lt;&gt;"",TODAY()&gt;G197),"逾期","未付")))</f>
        <v/>
      </c>
    </row>
    <row r="198" customFormat="false" ht="15" hidden="false" customHeight="false" outlineLevel="0" collapsed="false">
      <c r="A198" s="10"/>
      <c r="B198" s="10"/>
      <c r="C198" s="10"/>
      <c r="D198" s="12"/>
      <c r="E198" s="10"/>
      <c r="F198" s="11"/>
      <c r="G198" s="12"/>
      <c r="H198" s="12"/>
      <c r="I198" s="13" t="str">
        <f aca="true">IF(A198="","",IF(H198&lt;&gt;"","已付",IF(AND(G198&lt;&gt;"",TODAY()&gt;G198),"逾期","未付")))</f>
        <v/>
      </c>
    </row>
    <row r="199" customFormat="false" ht="15" hidden="false" customHeight="false" outlineLevel="0" collapsed="false">
      <c r="A199" s="10"/>
      <c r="B199" s="10"/>
      <c r="C199" s="10"/>
      <c r="D199" s="12"/>
      <c r="E199" s="10"/>
      <c r="F199" s="11"/>
      <c r="G199" s="12"/>
      <c r="H199" s="12"/>
      <c r="I199" s="13" t="str">
        <f aca="true">IF(A199="","",IF(H199&lt;&gt;"","已付",IF(AND(G199&lt;&gt;"",TODAY()&gt;G199),"逾期","未付")))</f>
        <v/>
      </c>
    </row>
    <row r="200" customFormat="false" ht="15" hidden="false" customHeight="false" outlineLevel="0" collapsed="false">
      <c r="A200" s="10"/>
      <c r="B200" s="10"/>
      <c r="C200" s="10"/>
      <c r="D200" s="12"/>
      <c r="E200" s="10"/>
      <c r="F200" s="11"/>
      <c r="G200" s="12"/>
      <c r="H200" s="12"/>
      <c r="I200" s="13" t="str">
        <f aca="true">IF(A200="","",IF(H200&lt;&gt;"","已付",IF(AND(G200&lt;&gt;"",TODAY()&gt;G200),"逾期","未付")))</f>
        <v/>
      </c>
    </row>
  </sheetData>
  <autoFilter ref="A1:I200"/>
  <dataValidations count="1">
    <dataValidation allowBlank="true" errorStyle="stop" operator="between" showDropDown="false" showErrorMessage="false" showInputMessage="false" sqref="E2:E200" type="list">
      <formula1>"租赁费,管理费,续约费,维修协调费,其他"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6"/>
    <col collapsed="false" customWidth="true" hidden="false" outlineLevel="0" max="6" min="4" style="0" width="12"/>
  </cols>
  <sheetData>
    <row r="1" customFormat="false" ht="36" hidden="false" customHeight="true" outlineLevel="0" collapsed="false">
      <c r="A1" s="8" t="s">
        <v>139</v>
      </c>
      <c r="B1" s="8" t="s">
        <v>46</v>
      </c>
      <c r="C1" s="8" t="s">
        <v>140</v>
      </c>
      <c r="D1" s="8" t="s">
        <v>141</v>
      </c>
      <c r="E1" s="8" t="s">
        <v>142</v>
      </c>
      <c r="F1" s="8" t="s">
        <v>56</v>
      </c>
    </row>
    <row r="2" customFormat="false" ht="15" hidden="false" customHeight="false" outlineLevel="0" collapsed="false">
      <c r="A2" s="12"/>
      <c r="B2" s="10"/>
      <c r="C2" s="10"/>
      <c r="D2" s="10"/>
      <c r="E2" s="10"/>
      <c r="F2" s="10"/>
    </row>
    <row r="3" customFormat="false" ht="15" hidden="false" customHeight="false" outlineLevel="0" collapsed="false">
      <c r="A3" s="12"/>
      <c r="B3" s="10"/>
      <c r="C3" s="10"/>
      <c r="D3" s="10"/>
      <c r="E3" s="10"/>
      <c r="F3" s="10"/>
    </row>
    <row r="4" customFormat="false" ht="15" hidden="false" customHeight="false" outlineLevel="0" collapsed="false">
      <c r="A4" s="12"/>
      <c r="B4" s="10"/>
      <c r="C4" s="10"/>
      <c r="D4" s="10"/>
      <c r="E4" s="10"/>
      <c r="F4" s="10"/>
    </row>
    <row r="5" customFormat="false" ht="15" hidden="false" customHeight="false" outlineLevel="0" collapsed="false">
      <c r="A5" s="12"/>
      <c r="B5" s="10"/>
      <c r="C5" s="10"/>
      <c r="D5" s="10"/>
      <c r="E5" s="10"/>
      <c r="F5" s="10"/>
    </row>
    <row r="6" customFormat="false" ht="15" hidden="false" customHeight="false" outlineLevel="0" collapsed="false">
      <c r="A6" s="12"/>
      <c r="B6" s="10"/>
      <c r="C6" s="10"/>
      <c r="D6" s="10"/>
      <c r="E6" s="10"/>
      <c r="F6" s="10"/>
    </row>
    <row r="7" customFormat="false" ht="15" hidden="false" customHeight="false" outlineLevel="0" collapsed="false">
      <c r="A7" s="12"/>
      <c r="B7" s="10"/>
      <c r="C7" s="10"/>
      <c r="D7" s="10"/>
      <c r="E7" s="10"/>
      <c r="F7" s="10"/>
    </row>
    <row r="8" customFormat="false" ht="15" hidden="false" customHeight="false" outlineLevel="0" collapsed="false">
      <c r="A8" s="12"/>
      <c r="B8" s="10"/>
      <c r="C8" s="10"/>
      <c r="D8" s="10"/>
      <c r="E8" s="10"/>
      <c r="F8" s="10"/>
    </row>
    <row r="9" customFormat="false" ht="15" hidden="false" customHeight="false" outlineLevel="0" collapsed="false">
      <c r="A9" s="12"/>
      <c r="B9" s="10"/>
      <c r="C9" s="10"/>
      <c r="D9" s="10"/>
      <c r="E9" s="10"/>
      <c r="F9" s="10"/>
    </row>
    <row r="10" customFormat="false" ht="15" hidden="false" customHeight="false" outlineLevel="0" collapsed="false">
      <c r="A10" s="12"/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12"/>
      <c r="B11" s="10"/>
      <c r="C11" s="10"/>
      <c r="D11" s="10"/>
      <c r="E11" s="10"/>
      <c r="F11" s="10"/>
    </row>
    <row r="12" customFormat="false" ht="15" hidden="false" customHeight="false" outlineLevel="0" collapsed="false">
      <c r="A12" s="12"/>
      <c r="B12" s="10"/>
      <c r="C12" s="10"/>
      <c r="D12" s="10"/>
      <c r="E12" s="10"/>
      <c r="F12" s="10"/>
    </row>
    <row r="13" customFormat="false" ht="15" hidden="false" customHeight="false" outlineLevel="0" collapsed="false">
      <c r="A13" s="12"/>
      <c r="B13" s="10"/>
      <c r="C13" s="10"/>
      <c r="D13" s="10"/>
      <c r="E13" s="10"/>
      <c r="F13" s="10"/>
    </row>
    <row r="14" customFormat="false" ht="15" hidden="false" customHeight="false" outlineLevel="0" collapsed="false">
      <c r="A14" s="12"/>
      <c r="B14" s="10"/>
      <c r="C14" s="10"/>
      <c r="D14" s="10"/>
      <c r="E14" s="10"/>
      <c r="F14" s="10"/>
    </row>
    <row r="15" customFormat="false" ht="15" hidden="false" customHeight="false" outlineLevel="0" collapsed="false">
      <c r="A15" s="12"/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12"/>
      <c r="B16" s="10"/>
      <c r="C16" s="10"/>
      <c r="D16" s="10"/>
      <c r="E16" s="10"/>
      <c r="F16" s="10"/>
    </row>
    <row r="17" customFormat="false" ht="15" hidden="false" customHeight="false" outlineLevel="0" collapsed="false">
      <c r="A17" s="12"/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12"/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12"/>
      <c r="B19" s="10"/>
      <c r="C19" s="10"/>
      <c r="D19" s="10"/>
      <c r="E19" s="10"/>
      <c r="F19" s="10"/>
    </row>
    <row r="20" customFormat="false" ht="15" hidden="false" customHeight="false" outlineLevel="0" collapsed="false">
      <c r="A20" s="12"/>
      <c r="B20" s="10"/>
      <c r="C20" s="10"/>
      <c r="D20" s="10"/>
      <c r="E20" s="10"/>
      <c r="F20" s="10"/>
    </row>
    <row r="21" customFormat="false" ht="15" hidden="false" customHeight="false" outlineLevel="0" collapsed="false">
      <c r="A21" s="12"/>
      <c r="B21" s="10"/>
      <c r="C21" s="10"/>
      <c r="D21" s="10"/>
      <c r="E21" s="10"/>
      <c r="F21" s="10"/>
    </row>
    <row r="22" customFormat="false" ht="15" hidden="false" customHeight="false" outlineLevel="0" collapsed="false">
      <c r="A22" s="12"/>
      <c r="B22" s="10"/>
      <c r="C22" s="10"/>
      <c r="D22" s="10"/>
      <c r="E22" s="10"/>
      <c r="F22" s="10"/>
    </row>
    <row r="23" customFormat="false" ht="15" hidden="false" customHeight="false" outlineLevel="0" collapsed="false">
      <c r="A23" s="12"/>
      <c r="B23" s="10"/>
      <c r="C23" s="10"/>
      <c r="D23" s="10"/>
      <c r="E23" s="10"/>
      <c r="F23" s="10"/>
    </row>
    <row r="24" customFormat="false" ht="15" hidden="false" customHeight="false" outlineLevel="0" collapsed="false">
      <c r="A24" s="12"/>
      <c r="B24" s="10"/>
      <c r="C24" s="10"/>
      <c r="D24" s="10"/>
      <c r="E24" s="10"/>
      <c r="F24" s="10"/>
    </row>
    <row r="25" customFormat="false" ht="15" hidden="false" customHeight="false" outlineLevel="0" collapsed="false">
      <c r="A25" s="12"/>
      <c r="B25" s="10"/>
      <c r="C25" s="10"/>
      <c r="D25" s="10"/>
      <c r="E25" s="10"/>
      <c r="F25" s="10"/>
    </row>
    <row r="26" customFormat="false" ht="15" hidden="false" customHeight="false" outlineLevel="0" collapsed="false">
      <c r="A26" s="12"/>
      <c r="B26" s="10"/>
      <c r="C26" s="10"/>
      <c r="D26" s="10"/>
      <c r="E26" s="10"/>
      <c r="F26" s="10"/>
    </row>
    <row r="27" customFormat="false" ht="15" hidden="false" customHeight="false" outlineLevel="0" collapsed="false">
      <c r="A27" s="12"/>
      <c r="B27" s="10"/>
      <c r="C27" s="10"/>
      <c r="D27" s="10"/>
      <c r="E27" s="10"/>
      <c r="F27" s="10"/>
    </row>
    <row r="28" customFormat="false" ht="15" hidden="false" customHeight="false" outlineLevel="0" collapsed="false">
      <c r="A28" s="12"/>
      <c r="B28" s="10"/>
      <c r="C28" s="10"/>
      <c r="D28" s="10"/>
      <c r="E28" s="10"/>
      <c r="F28" s="10"/>
    </row>
    <row r="29" customFormat="false" ht="15" hidden="false" customHeight="false" outlineLevel="0" collapsed="false">
      <c r="A29" s="12"/>
      <c r="B29" s="10"/>
      <c r="C29" s="10"/>
      <c r="D29" s="10"/>
      <c r="E29" s="10"/>
      <c r="F29" s="10"/>
    </row>
    <row r="30" customFormat="false" ht="15" hidden="false" customHeight="false" outlineLevel="0" collapsed="false">
      <c r="A30" s="12"/>
      <c r="B30" s="10"/>
      <c r="C30" s="10"/>
      <c r="D30" s="10"/>
      <c r="E30" s="10"/>
      <c r="F30" s="10"/>
    </row>
    <row r="31" customFormat="false" ht="15" hidden="false" customHeight="false" outlineLevel="0" collapsed="false">
      <c r="A31" s="12"/>
      <c r="B31" s="10"/>
      <c r="C31" s="10"/>
      <c r="D31" s="10"/>
      <c r="E31" s="10"/>
      <c r="F31" s="10"/>
    </row>
    <row r="32" customFormat="false" ht="15" hidden="false" customHeight="false" outlineLevel="0" collapsed="false">
      <c r="A32" s="12"/>
      <c r="B32" s="10"/>
      <c r="C32" s="10"/>
      <c r="D32" s="10"/>
      <c r="E32" s="10"/>
      <c r="F32" s="10"/>
    </row>
    <row r="33" customFormat="false" ht="15" hidden="false" customHeight="false" outlineLevel="0" collapsed="false">
      <c r="A33" s="12"/>
      <c r="B33" s="10"/>
      <c r="C33" s="10"/>
      <c r="D33" s="10"/>
      <c r="E33" s="10"/>
      <c r="F33" s="10"/>
    </row>
    <row r="34" customFormat="false" ht="15" hidden="false" customHeight="false" outlineLevel="0" collapsed="false">
      <c r="A34" s="12"/>
      <c r="B34" s="10"/>
      <c r="C34" s="10"/>
      <c r="D34" s="10"/>
      <c r="E34" s="10"/>
      <c r="F34" s="10"/>
    </row>
    <row r="35" customFormat="false" ht="15" hidden="false" customHeight="false" outlineLevel="0" collapsed="false">
      <c r="A35" s="12"/>
      <c r="B35" s="10"/>
      <c r="C35" s="10"/>
      <c r="D35" s="10"/>
      <c r="E35" s="10"/>
      <c r="F35" s="10"/>
    </row>
    <row r="36" customFormat="false" ht="15" hidden="false" customHeight="false" outlineLevel="0" collapsed="false">
      <c r="A36" s="12"/>
      <c r="B36" s="10"/>
      <c r="C36" s="10"/>
      <c r="D36" s="10"/>
      <c r="E36" s="10"/>
      <c r="F36" s="10"/>
    </row>
    <row r="37" customFormat="false" ht="15" hidden="false" customHeight="false" outlineLevel="0" collapsed="false">
      <c r="A37" s="12"/>
      <c r="B37" s="10"/>
      <c r="C37" s="10"/>
      <c r="D37" s="10"/>
      <c r="E37" s="10"/>
      <c r="F37" s="10"/>
    </row>
    <row r="38" customFormat="false" ht="15" hidden="false" customHeight="false" outlineLevel="0" collapsed="false">
      <c r="A38" s="12"/>
      <c r="B38" s="10"/>
      <c r="C38" s="10"/>
      <c r="D38" s="10"/>
      <c r="E38" s="10"/>
      <c r="F38" s="10"/>
    </row>
    <row r="39" customFormat="false" ht="15" hidden="false" customHeight="false" outlineLevel="0" collapsed="false">
      <c r="A39" s="12"/>
      <c r="B39" s="10"/>
      <c r="C39" s="10"/>
      <c r="D39" s="10"/>
      <c r="E39" s="10"/>
      <c r="F39" s="10"/>
    </row>
    <row r="40" customFormat="false" ht="15" hidden="false" customHeight="false" outlineLevel="0" collapsed="false">
      <c r="A40" s="12"/>
      <c r="B40" s="10"/>
      <c r="C40" s="10"/>
      <c r="D40" s="10"/>
      <c r="E40" s="10"/>
      <c r="F40" s="10"/>
    </row>
    <row r="41" customFormat="false" ht="15" hidden="false" customHeight="false" outlineLevel="0" collapsed="false">
      <c r="A41" s="12"/>
      <c r="B41" s="10"/>
      <c r="C41" s="10"/>
      <c r="D41" s="10"/>
      <c r="E41" s="10"/>
      <c r="F41" s="10"/>
    </row>
    <row r="42" customFormat="false" ht="15" hidden="false" customHeight="false" outlineLevel="0" collapsed="false">
      <c r="A42" s="12"/>
      <c r="B42" s="10"/>
      <c r="C42" s="10"/>
      <c r="D42" s="10"/>
      <c r="E42" s="10"/>
      <c r="F42" s="10"/>
    </row>
    <row r="43" customFormat="false" ht="15" hidden="false" customHeight="false" outlineLevel="0" collapsed="false">
      <c r="A43" s="12"/>
      <c r="B43" s="10"/>
      <c r="C43" s="10"/>
      <c r="D43" s="10"/>
      <c r="E43" s="10"/>
      <c r="F43" s="10"/>
    </row>
    <row r="44" customFormat="false" ht="15" hidden="false" customHeight="false" outlineLevel="0" collapsed="false">
      <c r="A44" s="12"/>
      <c r="B44" s="10"/>
      <c r="C44" s="10"/>
      <c r="D44" s="10"/>
      <c r="E44" s="10"/>
      <c r="F44" s="10"/>
    </row>
    <row r="45" customFormat="false" ht="15" hidden="false" customHeight="false" outlineLevel="0" collapsed="false">
      <c r="A45" s="12"/>
      <c r="B45" s="10"/>
      <c r="C45" s="10"/>
      <c r="D45" s="10"/>
      <c r="E45" s="10"/>
      <c r="F45" s="10"/>
    </row>
    <row r="46" customFormat="false" ht="15" hidden="false" customHeight="false" outlineLevel="0" collapsed="false">
      <c r="A46" s="12"/>
      <c r="B46" s="10"/>
      <c r="C46" s="10"/>
      <c r="D46" s="10"/>
      <c r="E46" s="10"/>
      <c r="F46" s="10"/>
    </row>
    <row r="47" customFormat="false" ht="15" hidden="false" customHeight="false" outlineLevel="0" collapsed="false">
      <c r="A47" s="12"/>
      <c r="B47" s="10"/>
      <c r="C47" s="10"/>
      <c r="D47" s="10"/>
      <c r="E47" s="10"/>
      <c r="F47" s="10"/>
    </row>
    <row r="48" customFormat="false" ht="15" hidden="false" customHeight="false" outlineLevel="0" collapsed="false">
      <c r="A48" s="12"/>
      <c r="B48" s="10"/>
      <c r="C48" s="10"/>
      <c r="D48" s="10"/>
      <c r="E48" s="10"/>
      <c r="F48" s="10"/>
    </row>
    <row r="49" customFormat="false" ht="15" hidden="false" customHeight="false" outlineLevel="0" collapsed="false">
      <c r="A49" s="12"/>
      <c r="B49" s="10"/>
      <c r="C49" s="10"/>
      <c r="D49" s="10"/>
      <c r="E49" s="10"/>
      <c r="F49" s="10"/>
    </row>
    <row r="50" customFormat="false" ht="15" hidden="false" customHeight="false" outlineLevel="0" collapsed="false">
      <c r="A50" s="12"/>
      <c r="B50" s="10"/>
      <c r="C50" s="10"/>
      <c r="D50" s="10"/>
      <c r="E50" s="10"/>
      <c r="F50" s="10"/>
    </row>
    <row r="51" customFormat="false" ht="15" hidden="false" customHeight="false" outlineLevel="0" collapsed="false">
      <c r="A51" s="12"/>
      <c r="B51" s="10"/>
      <c r="C51" s="10"/>
      <c r="D51" s="10"/>
      <c r="E51" s="10"/>
      <c r="F51" s="10"/>
    </row>
    <row r="52" customFormat="false" ht="15" hidden="false" customHeight="false" outlineLevel="0" collapsed="false">
      <c r="A52" s="12"/>
      <c r="B52" s="10"/>
      <c r="C52" s="10"/>
      <c r="D52" s="10"/>
      <c r="E52" s="10"/>
      <c r="F52" s="10"/>
    </row>
    <row r="53" customFormat="false" ht="15" hidden="false" customHeight="false" outlineLevel="0" collapsed="false">
      <c r="A53" s="12"/>
      <c r="B53" s="10"/>
      <c r="C53" s="10"/>
      <c r="D53" s="10"/>
      <c r="E53" s="10"/>
      <c r="F53" s="10"/>
    </row>
    <row r="54" customFormat="false" ht="15" hidden="false" customHeight="false" outlineLevel="0" collapsed="false">
      <c r="A54" s="12"/>
      <c r="B54" s="10"/>
      <c r="C54" s="10"/>
      <c r="D54" s="10"/>
      <c r="E54" s="10"/>
      <c r="F54" s="10"/>
    </row>
    <row r="55" customFormat="false" ht="15" hidden="false" customHeight="false" outlineLevel="0" collapsed="false">
      <c r="A55" s="12"/>
      <c r="B55" s="10"/>
      <c r="C55" s="10"/>
      <c r="D55" s="10"/>
      <c r="E55" s="10"/>
      <c r="F55" s="10"/>
    </row>
    <row r="56" customFormat="false" ht="15" hidden="false" customHeight="false" outlineLevel="0" collapsed="false">
      <c r="A56" s="12"/>
      <c r="B56" s="10"/>
      <c r="C56" s="10"/>
      <c r="D56" s="10"/>
      <c r="E56" s="10"/>
      <c r="F56" s="10"/>
    </row>
    <row r="57" customFormat="false" ht="15" hidden="false" customHeight="false" outlineLevel="0" collapsed="false">
      <c r="A57" s="12"/>
      <c r="B57" s="10"/>
      <c r="C57" s="10"/>
      <c r="D57" s="10"/>
      <c r="E57" s="10"/>
      <c r="F57" s="10"/>
    </row>
    <row r="58" customFormat="false" ht="15" hidden="false" customHeight="false" outlineLevel="0" collapsed="false">
      <c r="A58" s="12"/>
      <c r="B58" s="10"/>
      <c r="C58" s="10"/>
      <c r="D58" s="10"/>
      <c r="E58" s="10"/>
      <c r="F58" s="10"/>
    </row>
    <row r="59" customFormat="false" ht="15" hidden="false" customHeight="false" outlineLevel="0" collapsed="false">
      <c r="A59" s="12"/>
      <c r="B59" s="10"/>
      <c r="C59" s="10"/>
      <c r="D59" s="10"/>
      <c r="E59" s="10"/>
      <c r="F59" s="10"/>
    </row>
    <row r="60" customFormat="false" ht="15" hidden="false" customHeight="false" outlineLevel="0" collapsed="false">
      <c r="A60" s="12"/>
      <c r="B60" s="10"/>
      <c r="C60" s="10"/>
      <c r="D60" s="10"/>
      <c r="E60" s="10"/>
      <c r="F60" s="10"/>
    </row>
    <row r="61" customFormat="false" ht="15" hidden="false" customHeight="false" outlineLevel="0" collapsed="false">
      <c r="A61" s="12"/>
      <c r="B61" s="10"/>
      <c r="C61" s="10"/>
      <c r="D61" s="10"/>
      <c r="E61" s="10"/>
      <c r="F61" s="10"/>
    </row>
    <row r="62" customFormat="false" ht="15" hidden="false" customHeight="false" outlineLevel="0" collapsed="false">
      <c r="A62" s="12"/>
      <c r="B62" s="10"/>
      <c r="C62" s="10"/>
      <c r="D62" s="10"/>
      <c r="E62" s="10"/>
      <c r="F62" s="10"/>
    </row>
    <row r="63" customFormat="false" ht="15" hidden="false" customHeight="false" outlineLevel="0" collapsed="false">
      <c r="A63" s="12"/>
      <c r="B63" s="10"/>
      <c r="C63" s="10"/>
      <c r="D63" s="10"/>
      <c r="E63" s="10"/>
      <c r="F63" s="10"/>
    </row>
    <row r="64" customFormat="false" ht="15" hidden="false" customHeight="false" outlineLevel="0" collapsed="false">
      <c r="A64" s="12"/>
      <c r="B64" s="10"/>
      <c r="C64" s="10"/>
      <c r="D64" s="10"/>
      <c r="E64" s="10"/>
      <c r="F64" s="10"/>
    </row>
    <row r="65" customFormat="false" ht="15" hidden="false" customHeight="false" outlineLevel="0" collapsed="false">
      <c r="A65" s="12"/>
      <c r="B65" s="10"/>
      <c r="C65" s="10"/>
      <c r="D65" s="10"/>
      <c r="E65" s="10"/>
      <c r="F65" s="10"/>
    </row>
    <row r="66" customFormat="false" ht="15" hidden="false" customHeight="false" outlineLevel="0" collapsed="false">
      <c r="A66" s="12"/>
      <c r="B66" s="10"/>
      <c r="C66" s="10"/>
      <c r="D66" s="10"/>
      <c r="E66" s="10"/>
      <c r="F66" s="10"/>
    </row>
    <row r="67" customFormat="false" ht="15" hidden="false" customHeight="false" outlineLevel="0" collapsed="false">
      <c r="A67" s="12"/>
      <c r="B67" s="10"/>
      <c r="C67" s="10"/>
      <c r="D67" s="10"/>
      <c r="E67" s="10"/>
      <c r="F67" s="10"/>
    </row>
    <row r="68" customFormat="false" ht="15" hidden="false" customHeight="false" outlineLevel="0" collapsed="false">
      <c r="A68" s="12"/>
      <c r="B68" s="10"/>
      <c r="C68" s="10"/>
      <c r="D68" s="10"/>
      <c r="E68" s="10"/>
      <c r="F68" s="10"/>
    </row>
    <row r="69" customFormat="false" ht="15" hidden="false" customHeight="false" outlineLevel="0" collapsed="false">
      <c r="A69" s="12"/>
      <c r="B69" s="10"/>
      <c r="C69" s="10"/>
      <c r="D69" s="10"/>
      <c r="E69" s="10"/>
      <c r="F69" s="10"/>
    </row>
    <row r="70" customFormat="false" ht="15" hidden="false" customHeight="false" outlineLevel="0" collapsed="false">
      <c r="A70" s="12"/>
      <c r="B70" s="10"/>
      <c r="C70" s="10"/>
      <c r="D70" s="10"/>
      <c r="E70" s="10"/>
      <c r="F70" s="10"/>
    </row>
    <row r="71" customFormat="false" ht="15" hidden="false" customHeight="false" outlineLevel="0" collapsed="false">
      <c r="A71" s="12"/>
      <c r="B71" s="10"/>
      <c r="C71" s="10"/>
      <c r="D71" s="10"/>
      <c r="E71" s="10"/>
      <c r="F71" s="10"/>
    </row>
    <row r="72" customFormat="false" ht="15" hidden="false" customHeight="false" outlineLevel="0" collapsed="false">
      <c r="A72" s="12"/>
      <c r="B72" s="10"/>
      <c r="C72" s="10"/>
      <c r="D72" s="10"/>
      <c r="E72" s="10"/>
      <c r="F72" s="10"/>
    </row>
    <row r="73" customFormat="false" ht="15" hidden="false" customHeight="false" outlineLevel="0" collapsed="false">
      <c r="A73" s="12"/>
      <c r="B73" s="10"/>
      <c r="C73" s="10"/>
      <c r="D73" s="10"/>
      <c r="E73" s="10"/>
      <c r="F73" s="10"/>
    </row>
    <row r="74" customFormat="false" ht="15" hidden="false" customHeight="false" outlineLevel="0" collapsed="false">
      <c r="A74" s="12"/>
      <c r="B74" s="10"/>
      <c r="C74" s="10"/>
      <c r="D74" s="10"/>
      <c r="E74" s="10"/>
      <c r="F74" s="10"/>
    </row>
    <row r="75" customFormat="false" ht="15" hidden="false" customHeight="false" outlineLevel="0" collapsed="false">
      <c r="A75" s="12"/>
      <c r="B75" s="10"/>
      <c r="C75" s="10"/>
      <c r="D75" s="10"/>
      <c r="E75" s="10"/>
      <c r="F75" s="10"/>
    </row>
    <row r="76" customFormat="false" ht="15" hidden="false" customHeight="false" outlineLevel="0" collapsed="false">
      <c r="A76" s="12"/>
      <c r="B76" s="10"/>
      <c r="C76" s="10"/>
      <c r="D76" s="10"/>
      <c r="E76" s="10"/>
      <c r="F76" s="10"/>
    </row>
    <row r="77" customFormat="false" ht="15" hidden="false" customHeight="false" outlineLevel="0" collapsed="false">
      <c r="A77" s="12"/>
      <c r="B77" s="10"/>
      <c r="C77" s="10"/>
      <c r="D77" s="10"/>
      <c r="E77" s="10"/>
      <c r="F77" s="10"/>
    </row>
    <row r="78" customFormat="false" ht="15" hidden="false" customHeight="false" outlineLevel="0" collapsed="false">
      <c r="A78" s="12"/>
      <c r="B78" s="10"/>
      <c r="C78" s="10"/>
      <c r="D78" s="10"/>
      <c r="E78" s="10"/>
      <c r="F78" s="10"/>
    </row>
    <row r="79" customFormat="false" ht="15" hidden="false" customHeight="false" outlineLevel="0" collapsed="false">
      <c r="A79" s="12"/>
      <c r="B79" s="10"/>
      <c r="C79" s="10"/>
      <c r="D79" s="10"/>
      <c r="E79" s="10"/>
      <c r="F79" s="10"/>
    </row>
    <row r="80" customFormat="false" ht="15" hidden="false" customHeight="false" outlineLevel="0" collapsed="false">
      <c r="A80" s="12"/>
      <c r="B80" s="10"/>
      <c r="C80" s="10"/>
      <c r="D80" s="10"/>
      <c r="E80" s="10"/>
      <c r="F80" s="10"/>
    </row>
    <row r="81" customFormat="false" ht="15" hidden="false" customHeight="false" outlineLevel="0" collapsed="false">
      <c r="A81" s="12"/>
      <c r="B81" s="10"/>
      <c r="C81" s="10"/>
      <c r="D81" s="10"/>
      <c r="E81" s="10"/>
      <c r="F81" s="10"/>
    </row>
    <row r="82" customFormat="false" ht="15" hidden="false" customHeight="false" outlineLevel="0" collapsed="false">
      <c r="A82" s="12"/>
      <c r="B82" s="10"/>
      <c r="C82" s="10"/>
      <c r="D82" s="10"/>
      <c r="E82" s="10"/>
      <c r="F82" s="10"/>
    </row>
    <row r="83" customFormat="false" ht="15" hidden="false" customHeight="false" outlineLevel="0" collapsed="false">
      <c r="A83" s="12"/>
      <c r="B83" s="10"/>
      <c r="C83" s="10"/>
      <c r="D83" s="10"/>
      <c r="E83" s="10"/>
      <c r="F83" s="10"/>
    </row>
    <row r="84" customFormat="false" ht="15" hidden="false" customHeight="false" outlineLevel="0" collapsed="false">
      <c r="A84" s="12"/>
      <c r="B84" s="10"/>
      <c r="C84" s="10"/>
      <c r="D84" s="10"/>
      <c r="E84" s="10"/>
      <c r="F84" s="10"/>
    </row>
    <row r="85" customFormat="false" ht="15" hidden="false" customHeight="false" outlineLevel="0" collapsed="false">
      <c r="A85" s="12"/>
      <c r="B85" s="10"/>
      <c r="C85" s="10"/>
      <c r="D85" s="10"/>
      <c r="E85" s="10"/>
      <c r="F85" s="10"/>
    </row>
    <row r="86" customFormat="false" ht="15" hidden="false" customHeight="false" outlineLevel="0" collapsed="false">
      <c r="A86" s="12"/>
      <c r="B86" s="10"/>
      <c r="C86" s="10"/>
      <c r="D86" s="10"/>
      <c r="E86" s="10"/>
      <c r="F86" s="10"/>
    </row>
    <row r="87" customFormat="false" ht="15" hidden="false" customHeight="false" outlineLevel="0" collapsed="false">
      <c r="A87" s="12"/>
      <c r="B87" s="10"/>
      <c r="C87" s="10"/>
      <c r="D87" s="10"/>
      <c r="E87" s="10"/>
      <c r="F87" s="10"/>
    </row>
    <row r="88" customFormat="false" ht="15" hidden="false" customHeight="false" outlineLevel="0" collapsed="false">
      <c r="A88" s="12"/>
      <c r="B88" s="10"/>
      <c r="C88" s="10"/>
      <c r="D88" s="10"/>
      <c r="E88" s="10"/>
      <c r="F88" s="10"/>
    </row>
    <row r="89" customFormat="false" ht="15" hidden="false" customHeight="false" outlineLevel="0" collapsed="false">
      <c r="A89" s="12"/>
      <c r="B89" s="10"/>
      <c r="C89" s="10"/>
      <c r="D89" s="10"/>
      <c r="E89" s="10"/>
      <c r="F89" s="10"/>
    </row>
    <row r="90" customFormat="false" ht="15" hidden="false" customHeight="false" outlineLevel="0" collapsed="false">
      <c r="A90" s="12"/>
      <c r="B90" s="10"/>
      <c r="C90" s="10"/>
      <c r="D90" s="10"/>
      <c r="E90" s="10"/>
      <c r="F90" s="10"/>
    </row>
    <row r="91" customFormat="false" ht="15" hidden="false" customHeight="false" outlineLevel="0" collapsed="false">
      <c r="A91" s="12"/>
      <c r="B91" s="10"/>
      <c r="C91" s="10"/>
      <c r="D91" s="10"/>
      <c r="E91" s="10"/>
      <c r="F91" s="10"/>
    </row>
    <row r="92" customFormat="false" ht="15" hidden="false" customHeight="false" outlineLevel="0" collapsed="false">
      <c r="A92" s="12"/>
      <c r="B92" s="10"/>
      <c r="C92" s="10"/>
      <c r="D92" s="10"/>
      <c r="E92" s="10"/>
      <c r="F92" s="10"/>
    </row>
    <row r="93" customFormat="false" ht="15" hidden="false" customHeight="false" outlineLevel="0" collapsed="false">
      <c r="A93" s="12"/>
      <c r="B93" s="10"/>
      <c r="C93" s="10"/>
      <c r="D93" s="10"/>
      <c r="E93" s="10"/>
      <c r="F93" s="10"/>
    </row>
    <row r="94" customFormat="false" ht="15" hidden="false" customHeight="false" outlineLevel="0" collapsed="false">
      <c r="A94" s="12"/>
      <c r="B94" s="10"/>
      <c r="C94" s="10"/>
      <c r="D94" s="10"/>
      <c r="E94" s="10"/>
      <c r="F94" s="10"/>
    </row>
    <row r="95" customFormat="false" ht="15" hidden="false" customHeight="false" outlineLevel="0" collapsed="false">
      <c r="A95" s="12"/>
      <c r="B95" s="10"/>
      <c r="C95" s="10"/>
      <c r="D95" s="10"/>
      <c r="E95" s="10"/>
      <c r="F95" s="10"/>
    </row>
    <row r="96" customFormat="false" ht="15" hidden="false" customHeight="false" outlineLevel="0" collapsed="false">
      <c r="A96" s="12"/>
      <c r="B96" s="10"/>
      <c r="C96" s="10"/>
      <c r="D96" s="10"/>
      <c r="E96" s="10"/>
      <c r="F96" s="10"/>
    </row>
    <row r="97" customFormat="false" ht="15" hidden="false" customHeight="false" outlineLevel="0" collapsed="false">
      <c r="A97" s="12"/>
      <c r="B97" s="10"/>
      <c r="C97" s="10"/>
      <c r="D97" s="10"/>
      <c r="E97" s="10"/>
      <c r="F97" s="10"/>
    </row>
    <row r="98" customFormat="false" ht="15" hidden="false" customHeight="false" outlineLevel="0" collapsed="false">
      <c r="A98" s="12"/>
      <c r="B98" s="10"/>
      <c r="C98" s="10"/>
      <c r="D98" s="10"/>
      <c r="E98" s="10"/>
      <c r="F98" s="10"/>
    </row>
    <row r="99" customFormat="false" ht="15" hidden="false" customHeight="false" outlineLevel="0" collapsed="false">
      <c r="A99" s="12"/>
      <c r="B99" s="10"/>
      <c r="C99" s="10"/>
      <c r="D99" s="10"/>
      <c r="E99" s="10"/>
      <c r="F99" s="10"/>
    </row>
    <row r="100" customFormat="false" ht="15" hidden="false" customHeight="false" outlineLevel="0" collapsed="false">
      <c r="A100" s="12"/>
      <c r="B100" s="10"/>
      <c r="C100" s="10"/>
      <c r="D100" s="10"/>
      <c r="E100" s="10"/>
      <c r="F100" s="10"/>
    </row>
    <row r="101" customFormat="false" ht="15" hidden="false" customHeight="false" outlineLevel="0" collapsed="false">
      <c r="A101" s="12"/>
      <c r="B101" s="10"/>
      <c r="C101" s="10"/>
      <c r="D101" s="10"/>
      <c r="E101" s="10"/>
      <c r="F101" s="10"/>
    </row>
    <row r="102" customFormat="false" ht="15" hidden="false" customHeight="false" outlineLevel="0" collapsed="false">
      <c r="A102" s="12"/>
      <c r="B102" s="10"/>
      <c r="C102" s="10"/>
      <c r="D102" s="10"/>
      <c r="E102" s="10"/>
      <c r="F102" s="10"/>
    </row>
    <row r="103" customFormat="false" ht="15" hidden="false" customHeight="false" outlineLevel="0" collapsed="false">
      <c r="A103" s="12"/>
      <c r="B103" s="10"/>
      <c r="C103" s="10"/>
      <c r="D103" s="10"/>
      <c r="E103" s="10"/>
      <c r="F103" s="10"/>
    </row>
    <row r="104" customFormat="false" ht="15" hidden="false" customHeight="false" outlineLevel="0" collapsed="false">
      <c r="A104" s="12"/>
      <c r="B104" s="10"/>
      <c r="C104" s="10"/>
      <c r="D104" s="10"/>
      <c r="E104" s="10"/>
      <c r="F104" s="10"/>
    </row>
    <row r="105" customFormat="false" ht="15" hidden="false" customHeight="false" outlineLevel="0" collapsed="false">
      <c r="A105" s="12"/>
      <c r="B105" s="10"/>
      <c r="C105" s="10"/>
      <c r="D105" s="10"/>
      <c r="E105" s="10"/>
      <c r="F105" s="10"/>
    </row>
    <row r="106" customFormat="false" ht="15" hidden="false" customHeight="false" outlineLevel="0" collapsed="false">
      <c r="A106" s="12"/>
      <c r="B106" s="10"/>
      <c r="C106" s="10"/>
      <c r="D106" s="10"/>
      <c r="E106" s="10"/>
      <c r="F106" s="10"/>
    </row>
    <row r="107" customFormat="false" ht="15" hidden="false" customHeight="false" outlineLevel="0" collapsed="false">
      <c r="A107" s="12"/>
      <c r="B107" s="10"/>
      <c r="C107" s="10"/>
      <c r="D107" s="10"/>
      <c r="E107" s="10"/>
      <c r="F107" s="10"/>
    </row>
    <row r="108" customFormat="false" ht="15" hidden="false" customHeight="false" outlineLevel="0" collapsed="false">
      <c r="A108" s="12"/>
      <c r="B108" s="10"/>
      <c r="C108" s="10"/>
      <c r="D108" s="10"/>
      <c r="E108" s="10"/>
      <c r="F108" s="10"/>
    </row>
    <row r="109" customFormat="false" ht="15" hidden="false" customHeight="false" outlineLevel="0" collapsed="false">
      <c r="A109" s="12"/>
      <c r="B109" s="10"/>
      <c r="C109" s="10"/>
      <c r="D109" s="10"/>
      <c r="E109" s="10"/>
      <c r="F109" s="10"/>
    </row>
    <row r="110" customFormat="false" ht="15" hidden="false" customHeight="false" outlineLevel="0" collapsed="false">
      <c r="A110" s="12"/>
      <c r="B110" s="10"/>
      <c r="C110" s="10"/>
      <c r="D110" s="10"/>
      <c r="E110" s="10"/>
      <c r="F110" s="10"/>
    </row>
    <row r="111" customFormat="false" ht="15" hidden="false" customHeight="false" outlineLevel="0" collapsed="false">
      <c r="A111" s="12"/>
      <c r="B111" s="10"/>
      <c r="C111" s="10"/>
      <c r="D111" s="10"/>
      <c r="E111" s="10"/>
      <c r="F111" s="10"/>
    </row>
    <row r="112" customFormat="false" ht="15" hidden="false" customHeight="false" outlineLevel="0" collapsed="false">
      <c r="A112" s="12"/>
      <c r="B112" s="10"/>
      <c r="C112" s="10"/>
      <c r="D112" s="10"/>
      <c r="E112" s="10"/>
      <c r="F112" s="10"/>
    </row>
    <row r="113" customFormat="false" ht="15" hidden="false" customHeight="false" outlineLevel="0" collapsed="false">
      <c r="A113" s="12"/>
      <c r="B113" s="10"/>
      <c r="C113" s="10"/>
      <c r="D113" s="10"/>
      <c r="E113" s="10"/>
      <c r="F113" s="10"/>
    </row>
    <row r="114" customFormat="false" ht="15" hidden="false" customHeight="false" outlineLevel="0" collapsed="false">
      <c r="A114" s="12"/>
      <c r="B114" s="10"/>
      <c r="C114" s="10"/>
      <c r="D114" s="10"/>
      <c r="E114" s="10"/>
      <c r="F114" s="10"/>
    </row>
    <row r="115" customFormat="false" ht="15" hidden="false" customHeight="false" outlineLevel="0" collapsed="false">
      <c r="A115" s="12"/>
      <c r="B115" s="10"/>
      <c r="C115" s="10"/>
      <c r="D115" s="10"/>
      <c r="E115" s="10"/>
      <c r="F115" s="10"/>
    </row>
    <row r="116" customFormat="false" ht="15" hidden="false" customHeight="false" outlineLevel="0" collapsed="false">
      <c r="A116" s="12"/>
      <c r="B116" s="10"/>
      <c r="C116" s="10"/>
      <c r="D116" s="10"/>
      <c r="E116" s="10"/>
      <c r="F116" s="10"/>
    </row>
    <row r="117" customFormat="false" ht="15" hidden="false" customHeight="false" outlineLevel="0" collapsed="false">
      <c r="A117" s="12"/>
      <c r="B117" s="10"/>
      <c r="C117" s="10"/>
      <c r="D117" s="10"/>
      <c r="E117" s="10"/>
      <c r="F117" s="10"/>
    </row>
    <row r="118" customFormat="false" ht="15" hidden="false" customHeight="false" outlineLevel="0" collapsed="false">
      <c r="A118" s="12"/>
      <c r="B118" s="10"/>
      <c r="C118" s="10"/>
      <c r="D118" s="10"/>
      <c r="E118" s="10"/>
      <c r="F118" s="10"/>
    </row>
    <row r="119" customFormat="false" ht="15" hidden="false" customHeight="false" outlineLevel="0" collapsed="false">
      <c r="A119" s="12"/>
      <c r="B119" s="10"/>
      <c r="C119" s="10"/>
      <c r="D119" s="10"/>
      <c r="E119" s="10"/>
      <c r="F119" s="10"/>
    </row>
    <row r="120" customFormat="false" ht="15" hidden="false" customHeight="false" outlineLevel="0" collapsed="false">
      <c r="A120" s="12"/>
      <c r="B120" s="10"/>
      <c r="C120" s="10"/>
      <c r="D120" s="10"/>
      <c r="E120" s="10"/>
      <c r="F120" s="10"/>
    </row>
    <row r="121" customFormat="false" ht="15" hidden="false" customHeight="false" outlineLevel="0" collapsed="false">
      <c r="A121" s="12"/>
      <c r="B121" s="10"/>
      <c r="C121" s="10"/>
      <c r="D121" s="10"/>
      <c r="E121" s="10"/>
      <c r="F121" s="10"/>
    </row>
    <row r="122" customFormat="false" ht="15" hidden="false" customHeight="false" outlineLevel="0" collapsed="false">
      <c r="A122" s="12"/>
      <c r="B122" s="10"/>
      <c r="C122" s="10"/>
      <c r="D122" s="10"/>
      <c r="E122" s="10"/>
      <c r="F122" s="10"/>
    </row>
    <row r="123" customFormat="false" ht="15" hidden="false" customHeight="false" outlineLevel="0" collapsed="false">
      <c r="A123" s="12"/>
      <c r="B123" s="10"/>
      <c r="C123" s="10"/>
      <c r="D123" s="10"/>
      <c r="E123" s="10"/>
      <c r="F123" s="10"/>
    </row>
    <row r="124" customFormat="false" ht="15" hidden="false" customHeight="false" outlineLevel="0" collapsed="false">
      <c r="A124" s="12"/>
      <c r="B124" s="10"/>
      <c r="C124" s="10"/>
      <c r="D124" s="10"/>
      <c r="E124" s="10"/>
      <c r="F124" s="10"/>
    </row>
    <row r="125" customFormat="false" ht="15" hidden="false" customHeight="false" outlineLevel="0" collapsed="false">
      <c r="A125" s="12"/>
      <c r="B125" s="10"/>
      <c r="C125" s="10"/>
      <c r="D125" s="10"/>
      <c r="E125" s="10"/>
      <c r="F125" s="10"/>
    </row>
    <row r="126" customFormat="false" ht="15" hidden="false" customHeight="false" outlineLevel="0" collapsed="false">
      <c r="A126" s="12"/>
      <c r="B126" s="10"/>
      <c r="C126" s="10"/>
      <c r="D126" s="10"/>
      <c r="E126" s="10"/>
      <c r="F126" s="10"/>
    </row>
    <row r="127" customFormat="false" ht="15" hidden="false" customHeight="false" outlineLevel="0" collapsed="false">
      <c r="A127" s="12"/>
      <c r="B127" s="10"/>
      <c r="C127" s="10"/>
      <c r="D127" s="10"/>
      <c r="E127" s="10"/>
      <c r="F127" s="10"/>
    </row>
    <row r="128" customFormat="false" ht="15" hidden="false" customHeight="false" outlineLevel="0" collapsed="false">
      <c r="A128" s="12"/>
      <c r="B128" s="10"/>
      <c r="C128" s="10"/>
      <c r="D128" s="10"/>
      <c r="E128" s="10"/>
      <c r="F128" s="10"/>
    </row>
    <row r="129" customFormat="false" ht="15" hidden="false" customHeight="false" outlineLevel="0" collapsed="false">
      <c r="A129" s="12"/>
      <c r="B129" s="10"/>
      <c r="C129" s="10"/>
      <c r="D129" s="10"/>
      <c r="E129" s="10"/>
      <c r="F129" s="10"/>
    </row>
    <row r="130" customFormat="false" ht="15" hidden="false" customHeight="false" outlineLevel="0" collapsed="false">
      <c r="A130" s="12"/>
      <c r="B130" s="10"/>
      <c r="C130" s="10"/>
      <c r="D130" s="10"/>
      <c r="E130" s="10"/>
      <c r="F130" s="10"/>
    </row>
    <row r="131" customFormat="false" ht="15" hidden="false" customHeight="false" outlineLevel="0" collapsed="false">
      <c r="A131" s="12"/>
      <c r="B131" s="10"/>
      <c r="C131" s="10"/>
      <c r="D131" s="10"/>
      <c r="E131" s="10"/>
      <c r="F131" s="10"/>
    </row>
    <row r="132" customFormat="false" ht="15" hidden="false" customHeight="false" outlineLevel="0" collapsed="false">
      <c r="A132" s="12"/>
      <c r="B132" s="10"/>
      <c r="C132" s="10"/>
      <c r="D132" s="10"/>
      <c r="E132" s="10"/>
      <c r="F132" s="10"/>
    </row>
    <row r="133" customFormat="false" ht="15" hidden="false" customHeight="false" outlineLevel="0" collapsed="false">
      <c r="A133" s="12"/>
      <c r="B133" s="10"/>
      <c r="C133" s="10"/>
      <c r="D133" s="10"/>
      <c r="E133" s="10"/>
      <c r="F133" s="10"/>
    </row>
    <row r="134" customFormat="false" ht="15" hidden="false" customHeight="false" outlineLevel="0" collapsed="false">
      <c r="A134" s="12"/>
      <c r="B134" s="10"/>
      <c r="C134" s="10"/>
      <c r="D134" s="10"/>
      <c r="E134" s="10"/>
      <c r="F134" s="10"/>
    </row>
    <row r="135" customFormat="false" ht="15" hidden="false" customHeight="false" outlineLevel="0" collapsed="false">
      <c r="A135" s="12"/>
      <c r="B135" s="10"/>
      <c r="C135" s="10"/>
      <c r="D135" s="10"/>
      <c r="E135" s="10"/>
      <c r="F135" s="10"/>
    </row>
    <row r="136" customFormat="false" ht="15" hidden="false" customHeight="false" outlineLevel="0" collapsed="false">
      <c r="A136" s="12"/>
      <c r="B136" s="10"/>
      <c r="C136" s="10"/>
      <c r="D136" s="10"/>
      <c r="E136" s="10"/>
      <c r="F136" s="10"/>
    </row>
    <row r="137" customFormat="false" ht="15" hidden="false" customHeight="false" outlineLevel="0" collapsed="false">
      <c r="A137" s="12"/>
      <c r="B137" s="10"/>
      <c r="C137" s="10"/>
      <c r="D137" s="10"/>
      <c r="E137" s="10"/>
      <c r="F137" s="10"/>
    </row>
    <row r="138" customFormat="false" ht="15" hidden="false" customHeight="false" outlineLevel="0" collapsed="false">
      <c r="A138" s="12"/>
      <c r="B138" s="10"/>
      <c r="C138" s="10"/>
      <c r="D138" s="10"/>
      <c r="E138" s="10"/>
      <c r="F138" s="10"/>
    </row>
    <row r="139" customFormat="false" ht="15" hidden="false" customHeight="false" outlineLevel="0" collapsed="false">
      <c r="A139" s="12"/>
      <c r="B139" s="10"/>
      <c r="C139" s="10"/>
      <c r="D139" s="10"/>
      <c r="E139" s="10"/>
      <c r="F139" s="10"/>
    </row>
    <row r="140" customFormat="false" ht="15" hidden="false" customHeight="false" outlineLevel="0" collapsed="false">
      <c r="A140" s="12"/>
      <c r="B140" s="10"/>
      <c r="C140" s="10"/>
      <c r="D140" s="10"/>
      <c r="E140" s="10"/>
      <c r="F140" s="10"/>
    </row>
    <row r="141" customFormat="false" ht="15" hidden="false" customHeight="false" outlineLevel="0" collapsed="false">
      <c r="A141" s="12"/>
      <c r="B141" s="10"/>
      <c r="C141" s="10"/>
      <c r="D141" s="10"/>
      <c r="E141" s="10"/>
      <c r="F141" s="10"/>
    </row>
    <row r="142" customFormat="false" ht="15" hidden="false" customHeight="false" outlineLevel="0" collapsed="false">
      <c r="A142" s="12"/>
      <c r="B142" s="10"/>
      <c r="C142" s="10"/>
      <c r="D142" s="10"/>
      <c r="E142" s="10"/>
      <c r="F142" s="10"/>
    </row>
    <row r="143" customFormat="false" ht="15" hidden="false" customHeight="false" outlineLevel="0" collapsed="false">
      <c r="A143" s="12"/>
      <c r="B143" s="10"/>
      <c r="C143" s="10"/>
      <c r="D143" s="10"/>
      <c r="E143" s="10"/>
      <c r="F143" s="10"/>
    </row>
    <row r="144" customFormat="false" ht="15" hidden="false" customHeight="false" outlineLevel="0" collapsed="false">
      <c r="A144" s="12"/>
      <c r="B144" s="10"/>
      <c r="C144" s="10"/>
      <c r="D144" s="10"/>
      <c r="E144" s="10"/>
      <c r="F144" s="10"/>
    </row>
    <row r="145" customFormat="false" ht="15" hidden="false" customHeight="false" outlineLevel="0" collapsed="false">
      <c r="A145" s="12"/>
      <c r="B145" s="10"/>
      <c r="C145" s="10"/>
      <c r="D145" s="10"/>
      <c r="E145" s="10"/>
      <c r="F145" s="10"/>
    </row>
    <row r="146" customFormat="false" ht="15" hidden="false" customHeight="false" outlineLevel="0" collapsed="false">
      <c r="A146" s="12"/>
      <c r="B146" s="10"/>
      <c r="C146" s="10"/>
      <c r="D146" s="10"/>
      <c r="E146" s="10"/>
      <c r="F146" s="10"/>
    </row>
    <row r="147" customFormat="false" ht="15" hidden="false" customHeight="false" outlineLevel="0" collapsed="false">
      <c r="A147" s="12"/>
      <c r="B147" s="10"/>
      <c r="C147" s="10"/>
      <c r="D147" s="10"/>
      <c r="E147" s="10"/>
      <c r="F147" s="10"/>
    </row>
    <row r="148" customFormat="false" ht="15" hidden="false" customHeight="false" outlineLevel="0" collapsed="false">
      <c r="A148" s="12"/>
      <c r="B148" s="10"/>
      <c r="C148" s="10"/>
      <c r="D148" s="10"/>
      <c r="E148" s="10"/>
      <c r="F148" s="10"/>
    </row>
    <row r="149" customFormat="false" ht="15" hidden="false" customHeight="false" outlineLevel="0" collapsed="false">
      <c r="A149" s="12"/>
      <c r="B149" s="10"/>
      <c r="C149" s="10"/>
      <c r="D149" s="10"/>
      <c r="E149" s="10"/>
      <c r="F149" s="10"/>
    </row>
    <row r="150" customFormat="false" ht="15" hidden="false" customHeight="false" outlineLevel="0" collapsed="false">
      <c r="A150" s="12"/>
      <c r="B150" s="10"/>
      <c r="C150" s="10"/>
      <c r="D150" s="10"/>
      <c r="E150" s="10"/>
      <c r="F150" s="10"/>
    </row>
    <row r="151" customFormat="false" ht="15" hidden="false" customHeight="false" outlineLevel="0" collapsed="false">
      <c r="A151" s="12"/>
      <c r="B151" s="10"/>
      <c r="C151" s="10"/>
      <c r="D151" s="10"/>
      <c r="E151" s="10"/>
      <c r="F151" s="10"/>
    </row>
    <row r="152" customFormat="false" ht="15" hidden="false" customHeight="false" outlineLevel="0" collapsed="false">
      <c r="A152" s="12"/>
      <c r="B152" s="10"/>
      <c r="C152" s="10"/>
      <c r="D152" s="10"/>
      <c r="E152" s="10"/>
      <c r="F152" s="10"/>
    </row>
    <row r="153" customFormat="false" ht="15" hidden="false" customHeight="false" outlineLevel="0" collapsed="false">
      <c r="A153" s="12"/>
      <c r="B153" s="10"/>
      <c r="C153" s="10"/>
      <c r="D153" s="10"/>
      <c r="E153" s="10"/>
      <c r="F153" s="10"/>
    </row>
    <row r="154" customFormat="false" ht="15" hidden="false" customHeight="false" outlineLevel="0" collapsed="false">
      <c r="A154" s="12"/>
      <c r="B154" s="10"/>
      <c r="C154" s="10"/>
      <c r="D154" s="10"/>
      <c r="E154" s="10"/>
      <c r="F154" s="10"/>
    </row>
    <row r="155" customFormat="false" ht="15" hidden="false" customHeight="false" outlineLevel="0" collapsed="false">
      <c r="A155" s="12"/>
      <c r="B155" s="10"/>
      <c r="C155" s="10"/>
      <c r="D155" s="10"/>
      <c r="E155" s="10"/>
      <c r="F155" s="10"/>
    </row>
    <row r="156" customFormat="false" ht="15" hidden="false" customHeight="false" outlineLevel="0" collapsed="false">
      <c r="A156" s="12"/>
      <c r="B156" s="10"/>
      <c r="C156" s="10"/>
      <c r="D156" s="10"/>
      <c r="E156" s="10"/>
      <c r="F156" s="10"/>
    </row>
    <row r="157" customFormat="false" ht="15" hidden="false" customHeight="false" outlineLevel="0" collapsed="false">
      <c r="A157" s="12"/>
      <c r="B157" s="10"/>
      <c r="C157" s="10"/>
      <c r="D157" s="10"/>
      <c r="E157" s="10"/>
      <c r="F157" s="10"/>
    </row>
    <row r="158" customFormat="false" ht="15" hidden="false" customHeight="false" outlineLevel="0" collapsed="false">
      <c r="A158" s="12"/>
      <c r="B158" s="10"/>
      <c r="C158" s="10"/>
      <c r="D158" s="10"/>
      <c r="E158" s="10"/>
      <c r="F158" s="10"/>
    </row>
    <row r="159" customFormat="false" ht="15" hidden="false" customHeight="false" outlineLevel="0" collapsed="false">
      <c r="A159" s="12"/>
      <c r="B159" s="10"/>
      <c r="C159" s="10"/>
      <c r="D159" s="10"/>
      <c r="E159" s="10"/>
      <c r="F159" s="10"/>
    </row>
    <row r="160" customFormat="false" ht="15" hidden="false" customHeight="false" outlineLevel="0" collapsed="false">
      <c r="A160" s="12"/>
      <c r="B160" s="10"/>
      <c r="C160" s="10"/>
      <c r="D160" s="10"/>
      <c r="E160" s="10"/>
      <c r="F160" s="10"/>
    </row>
    <row r="161" customFormat="false" ht="15" hidden="false" customHeight="false" outlineLevel="0" collapsed="false">
      <c r="A161" s="12"/>
      <c r="B161" s="10"/>
      <c r="C161" s="10"/>
      <c r="D161" s="10"/>
      <c r="E161" s="10"/>
      <c r="F161" s="10"/>
    </row>
    <row r="162" customFormat="false" ht="15" hidden="false" customHeight="false" outlineLevel="0" collapsed="false">
      <c r="A162" s="12"/>
      <c r="B162" s="10"/>
      <c r="C162" s="10"/>
      <c r="D162" s="10"/>
      <c r="E162" s="10"/>
      <c r="F162" s="10"/>
    </row>
    <row r="163" customFormat="false" ht="15" hidden="false" customHeight="false" outlineLevel="0" collapsed="false">
      <c r="A163" s="12"/>
      <c r="B163" s="10"/>
      <c r="C163" s="10"/>
      <c r="D163" s="10"/>
      <c r="E163" s="10"/>
      <c r="F163" s="10"/>
    </row>
    <row r="164" customFormat="false" ht="15" hidden="false" customHeight="false" outlineLevel="0" collapsed="false">
      <c r="A164" s="12"/>
      <c r="B164" s="10"/>
      <c r="C164" s="10"/>
      <c r="D164" s="10"/>
      <c r="E164" s="10"/>
      <c r="F164" s="10"/>
    </row>
    <row r="165" customFormat="false" ht="15" hidden="false" customHeight="false" outlineLevel="0" collapsed="false">
      <c r="A165" s="12"/>
      <c r="B165" s="10"/>
      <c r="C165" s="10"/>
      <c r="D165" s="10"/>
      <c r="E165" s="10"/>
      <c r="F165" s="10"/>
    </row>
    <row r="166" customFormat="false" ht="15" hidden="false" customHeight="false" outlineLevel="0" collapsed="false">
      <c r="A166" s="12"/>
      <c r="B166" s="10"/>
      <c r="C166" s="10"/>
      <c r="D166" s="10"/>
      <c r="E166" s="10"/>
      <c r="F166" s="10"/>
    </row>
    <row r="167" customFormat="false" ht="15" hidden="false" customHeight="false" outlineLevel="0" collapsed="false">
      <c r="A167" s="12"/>
      <c r="B167" s="10"/>
      <c r="C167" s="10"/>
      <c r="D167" s="10"/>
      <c r="E167" s="10"/>
      <c r="F167" s="10"/>
    </row>
    <row r="168" customFormat="false" ht="15" hidden="false" customHeight="false" outlineLevel="0" collapsed="false">
      <c r="A168" s="12"/>
      <c r="B168" s="10"/>
      <c r="C168" s="10"/>
      <c r="D168" s="10"/>
      <c r="E168" s="10"/>
      <c r="F168" s="10"/>
    </row>
    <row r="169" customFormat="false" ht="15" hidden="false" customHeight="false" outlineLevel="0" collapsed="false">
      <c r="A169" s="12"/>
      <c r="B169" s="10"/>
      <c r="C169" s="10"/>
      <c r="D169" s="10"/>
      <c r="E169" s="10"/>
      <c r="F169" s="10"/>
    </row>
    <row r="170" customFormat="false" ht="15" hidden="false" customHeight="false" outlineLevel="0" collapsed="false">
      <c r="A170" s="12"/>
      <c r="B170" s="10"/>
      <c r="C170" s="10"/>
      <c r="D170" s="10"/>
      <c r="E170" s="10"/>
      <c r="F170" s="10"/>
    </row>
    <row r="171" customFormat="false" ht="15" hidden="false" customHeight="false" outlineLevel="0" collapsed="false">
      <c r="A171" s="12"/>
      <c r="B171" s="10"/>
      <c r="C171" s="10"/>
      <c r="D171" s="10"/>
      <c r="E171" s="10"/>
      <c r="F171" s="10"/>
    </row>
    <row r="172" customFormat="false" ht="15" hidden="false" customHeight="false" outlineLevel="0" collapsed="false">
      <c r="A172" s="12"/>
      <c r="B172" s="10"/>
      <c r="C172" s="10"/>
      <c r="D172" s="10"/>
      <c r="E172" s="10"/>
      <c r="F172" s="10"/>
    </row>
    <row r="173" customFormat="false" ht="15" hidden="false" customHeight="false" outlineLevel="0" collapsed="false">
      <c r="A173" s="12"/>
      <c r="B173" s="10"/>
      <c r="C173" s="10"/>
      <c r="D173" s="10"/>
      <c r="E173" s="10"/>
      <c r="F173" s="10"/>
    </row>
    <row r="174" customFormat="false" ht="15" hidden="false" customHeight="false" outlineLevel="0" collapsed="false">
      <c r="A174" s="12"/>
      <c r="B174" s="10"/>
      <c r="C174" s="10"/>
      <c r="D174" s="10"/>
      <c r="E174" s="10"/>
      <c r="F174" s="10"/>
    </row>
    <row r="175" customFormat="false" ht="15" hidden="false" customHeight="false" outlineLevel="0" collapsed="false">
      <c r="A175" s="12"/>
      <c r="B175" s="10"/>
      <c r="C175" s="10"/>
      <c r="D175" s="10"/>
      <c r="E175" s="10"/>
      <c r="F175" s="10"/>
    </row>
    <row r="176" customFormat="false" ht="15" hidden="false" customHeight="false" outlineLevel="0" collapsed="false">
      <c r="A176" s="12"/>
      <c r="B176" s="10"/>
      <c r="C176" s="10"/>
      <c r="D176" s="10"/>
      <c r="E176" s="10"/>
      <c r="F176" s="10"/>
    </row>
    <row r="177" customFormat="false" ht="15" hidden="false" customHeight="false" outlineLevel="0" collapsed="false">
      <c r="A177" s="12"/>
      <c r="B177" s="10"/>
      <c r="C177" s="10"/>
      <c r="D177" s="10"/>
      <c r="E177" s="10"/>
      <c r="F177" s="10"/>
    </row>
    <row r="178" customFormat="false" ht="15" hidden="false" customHeight="false" outlineLevel="0" collapsed="false">
      <c r="A178" s="12"/>
      <c r="B178" s="10"/>
      <c r="C178" s="10"/>
      <c r="D178" s="10"/>
      <c r="E178" s="10"/>
      <c r="F178" s="10"/>
    </row>
    <row r="179" customFormat="false" ht="15" hidden="false" customHeight="false" outlineLevel="0" collapsed="false">
      <c r="A179" s="12"/>
      <c r="B179" s="10"/>
      <c r="C179" s="10"/>
      <c r="D179" s="10"/>
      <c r="E179" s="10"/>
      <c r="F179" s="10"/>
    </row>
    <row r="180" customFormat="false" ht="15" hidden="false" customHeight="false" outlineLevel="0" collapsed="false">
      <c r="A180" s="12"/>
      <c r="B180" s="10"/>
      <c r="C180" s="10"/>
      <c r="D180" s="10"/>
      <c r="E180" s="10"/>
      <c r="F180" s="10"/>
    </row>
    <row r="181" customFormat="false" ht="15" hidden="false" customHeight="false" outlineLevel="0" collapsed="false">
      <c r="A181" s="12"/>
      <c r="B181" s="10"/>
      <c r="C181" s="10"/>
      <c r="D181" s="10"/>
      <c r="E181" s="10"/>
      <c r="F181" s="10"/>
    </row>
    <row r="182" customFormat="false" ht="15" hidden="false" customHeight="false" outlineLevel="0" collapsed="false">
      <c r="A182" s="12"/>
      <c r="B182" s="10"/>
      <c r="C182" s="10"/>
      <c r="D182" s="10"/>
      <c r="E182" s="10"/>
      <c r="F182" s="10"/>
    </row>
    <row r="183" customFormat="false" ht="15" hidden="false" customHeight="false" outlineLevel="0" collapsed="false">
      <c r="A183" s="12"/>
      <c r="B183" s="10"/>
      <c r="C183" s="10"/>
      <c r="D183" s="10"/>
      <c r="E183" s="10"/>
      <c r="F183" s="10"/>
    </row>
    <row r="184" customFormat="false" ht="15" hidden="false" customHeight="false" outlineLevel="0" collapsed="false">
      <c r="A184" s="12"/>
      <c r="B184" s="10"/>
      <c r="C184" s="10"/>
      <c r="D184" s="10"/>
      <c r="E184" s="10"/>
      <c r="F184" s="10"/>
    </row>
    <row r="185" customFormat="false" ht="15" hidden="false" customHeight="false" outlineLevel="0" collapsed="false">
      <c r="A185" s="12"/>
      <c r="B185" s="10"/>
      <c r="C185" s="10"/>
      <c r="D185" s="10"/>
      <c r="E185" s="10"/>
      <c r="F185" s="10"/>
    </row>
    <row r="186" customFormat="false" ht="15" hidden="false" customHeight="false" outlineLevel="0" collapsed="false">
      <c r="A186" s="12"/>
      <c r="B186" s="10"/>
      <c r="C186" s="10"/>
      <c r="D186" s="10"/>
      <c r="E186" s="10"/>
      <c r="F186" s="10"/>
    </row>
    <row r="187" customFormat="false" ht="15" hidden="false" customHeight="false" outlineLevel="0" collapsed="false">
      <c r="A187" s="12"/>
      <c r="B187" s="10"/>
      <c r="C187" s="10"/>
      <c r="D187" s="10"/>
      <c r="E187" s="10"/>
      <c r="F187" s="10"/>
    </row>
    <row r="188" customFormat="false" ht="15" hidden="false" customHeight="false" outlineLevel="0" collapsed="false">
      <c r="A188" s="12"/>
      <c r="B188" s="10"/>
      <c r="C188" s="10"/>
      <c r="D188" s="10"/>
      <c r="E188" s="10"/>
      <c r="F188" s="10"/>
    </row>
    <row r="189" customFormat="false" ht="15" hidden="false" customHeight="false" outlineLevel="0" collapsed="false">
      <c r="A189" s="12"/>
      <c r="B189" s="10"/>
      <c r="C189" s="10"/>
      <c r="D189" s="10"/>
      <c r="E189" s="10"/>
      <c r="F189" s="10"/>
    </row>
    <row r="190" customFormat="false" ht="15" hidden="false" customHeight="false" outlineLevel="0" collapsed="false">
      <c r="A190" s="12"/>
      <c r="B190" s="10"/>
      <c r="C190" s="10"/>
      <c r="D190" s="10"/>
      <c r="E190" s="10"/>
      <c r="F190" s="10"/>
    </row>
    <row r="191" customFormat="false" ht="15" hidden="false" customHeight="false" outlineLevel="0" collapsed="false">
      <c r="A191" s="12"/>
      <c r="B191" s="10"/>
      <c r="C191" s="10"/>
      <c r="D191" s="10"/>
      <c r="E191" s="10"/>
      <c r="F191" s="10"/>
    </row>
    <row r="192" customFormat="false" ht="15" hidden="false" customHeight="false" outlineLevel="0" collapsed="false">
      <c r="A192" s="12"/>
      <c r="B192" s="10"/>
      <c r="C192" s="10"/>
      <c r="D192" s="10"/>
      <c r="E192" s="10"/>
      <c r="F192" s="10"/>
    </row>
    <row r="193" customFormat="false" ht="15" hidden="false" customHeight="false" outlineLevel="0" collapsed="false">
      <c r="A193" s="12"/>
      <c r="B193" s="10"/>
      <c r="C193" s="10"/>
      <c r="D193" s="10"/>
      <c r="E193" s="10"/>
      <c r="F193" s="10"/>
    </row>
    <row r="194" customFormat="false" ht="15" hidden="false" customHeight="false" outlineLevel="0" collapsed="false">
      <c r="A194" s="12"/>
      <c r="B194" s="10"/>
      <c r="C194" s="10"/>
      <c r="D194" s="10"/>
      <c r="E194" s="10"/>
      <c r="F194" s="10"/>
    </row>
    <row r="195" customFormat="false" ht="15" hidden="false" customHeight="false" outlineLevel="0" collapsed="false">
      <c r="A195" s="12"/>
      <c r="B195" s="10"/>
      <c r="C195" s="10"/>
      <c r="D195" s="10"/>
      <c r="E195" s="10"/>
      <c r="F195" s="10"/>
    </row>
    <row r="196" customFormat="false" ht="15" hidden="false" customHeight="false" outlineLevel="0" collapsed="false">
      <c r="A196" s="12"/>
      <c r="B196" s="10"/>
      <c r="C196" s="10"/>
      <c r="D196" s="10"/>
      <c r="E196" s="10"/>
      <c r="F196" s="10"/>
    </row>
    <row r="197" customFormat="false" ht="15" hidden="false" customHeight="false" outlineLevel="0" collapsed="false">
      <c r="A197" s="12"/>
      <c r="B197" s="10"/>
      <c r="C197" s="10"/>
      <c r="D197" s="10"/>
      <c r="E197" s="10"/>
      <c r="F197" s="10"/>
    </row>
    <row r="198" customFormat="false" ht="15" hidden="false" customHeight="false" outlineLevel="0" collapsed="false">
      <c r="A198" s="12"/>
      <c r="B198" s="10"/>
      <c r="C198" s="10"/>
      <c r="D198" s="10"/>
      <c r="E198" s="10"/>
      <c r="F198" s="10"/>
    </row>
    <row r="199" customFormat="false" ht="15" hidden="false" customHeight="false" outlineLevel="0" collapsed="false">
      <c r="A199" s="12"/>
      <c r="B199" s="10"/>
      <c r="C199" s="10"/>
      <c r="D199" s="10"/>
      <c r="E199" s="10"/>
      <c r="F199" s="10"/>
    </row>
    <row r="200" customFormat="false" ht="15" hidden="false" customHeight="false" outlineLevel="0" collapsed="false">
      <c r="A200" s="12"/>
      <c r="B200" s="10"/>
      <c r="C200" s="10"/>
      <c r="D200" s="10"/>
      <c r="E200" s="10"/>
      <c r="F200" s="10"/>
    </row>
  </sheetData>
  <autoFilter ref="A1:F200"/>
  <dataValidations count="3">
    <dataValidation allowBlank="true" errorStyle="stop" operator="between" showDropDown="false" showErrorMessage="false" showInputMessage="false" sqref="E2:E200" type="list">
      <formula1>"高,中,低"</formula1>
      <formula2>0</formula2>
    </dataValidation>
    <dataValidation allowBlank="true" errorStyle="stop" operator="between" showDropDown="false" showErrorMessage="false" showInputMessage="false" sqref="F2:F200" type="list">
      <formula1>"待办,进行中,完成,取消"</formula1>
      <formula2>0</formula2>
    </dataValidation>
    <dataValidation allowBlank="true" errorStyle="stop" operator="between" showDropDown="false" showErrorMessage="false" showInputMessage="false" sqref="D2:D200" type="list">
      <formula1>"M01,M02,M03,M04,M05,M06,M07,M08,M09,M10,M11,M12,M13,M14,M15,M16,M17,X1,X3"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8" min="6" style="0" width="12"/>
    <col collapsed="false" customWidth="true" hidden="false" outlineLevel="0" max="9" min="9" style="0" width="26"/>
  </cols>
  <sheetData>
    <row r="1" customFormat="false" ht="36" hidden="false" customHeight="true" outlineLevel="0" collapsed="false">
      <c r="A1" s="8" t="s">
        <v>143</v>
      </c>
      <c r="B1" s="8" t="s">
        <v>144</v>
      </c>
      <c r="C1" s="8" t="s">
        <v>66</v>
      </c>
      <c r="D1" s="8" t="s">
        <v>67</v>
      </c>
      <c r="E1" s="15" t="s">
        <v>145</v>
      </c>
      <c r="F1" s="8" t="s">
        <v>146</v>
      </c>
      <c r="G1" s="8" t="s">
        <v>147</v>
      </c>
      <c r="H1" s="8" t="s">
        <v>148</v>
      </c>
      <c r="I1" s="8" t="s">
        <v>70</v>
      </c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0"/>
      <c r="H2" s="10"/>
      <c r="I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</row>
  </sheetData>
  <autoFilter ref="A1:I200"/>
  <dataValidations count="3">
    <dataValidation allowBlank="true" errorStyle="stop" operator="between" showDropDown="false" showErrorMessage="false" showInputMessage="false" sqref="A2:A200" type="list">
      <formula1>"水管,电工,空调暖气,家电,锁匠,清洁,除虫,油漆,地板,屋顶,园艺,车库门,Handyman,其他"</formula1>
      <formula2>0</formula2>
    </dataValidation>
    <dataValidation allowBlank="true" errorStyle="stop" operator="between" showDropDown="false" showErrorMessage="false" showInputMessage="false" sqref="F2:F200" type="list">
      <formula1>"有,无,未知"</formula1>
      <formula2>0</formula2>
    </dataValidation>
    <dataValidation allowBlank="true" errorStyle="stop" operator="between" showDropDown="false" showErrorMessage="false" showInputMessage="false" sqref="H2:H200" type="list">
      <formula1>"好,一般,差"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2026-10-25T06:39:03Z</dcterms:created>
  <dc:creator>openpyxl</dc:creator>
  <dc:description/>
  <dc:language>en-US</dc:language>
  <cp:lastModifiedBy/>
  <dcterms:modified xsi:type="dcterms:W3CDTF">2026-10-25T06:39:04Z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